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C:\Users\ky71606\Downloads\"/>
    </mc:Choice>
  </mc:AlternateContent>
  <xr:revisionPtr revIDLastSave="0" documentId="13_ncr:1_{69A52DA9-B00E-4416-ABDC-1C833FC9C36D}" xr6:coauthVersionLast="47" xr6:coauthVersionMax="47" xr10:uidLastSave="{00000000-0000-0000-0000-000000000000}"/>
  <bookViews>
    <workbookView xWindow="-120" yWindow="-120" windowWidth="20730" windowHeight="11040" xr2:uid="{00000000-000D-0000-FFFF-FFFF00000000}"/>
  </bookViews>
  <sheets>
    <sheet name="Test Cases" sheetId="1" r:id="rId1"/>
    <sheet name="Tool_Improvement" sheetId="9" r:id="rId2"/>
    <sheet name="FAILURE State" sheetId="6" state="hidden" r:id="rId3"/>
    <sheet name="Rigging Calculations" sheetId="7" state="hidden" r:id="rId4"/>
    <sheet name="Steps tested for 9655" sheetId="8" state="hidden" r:id="rId5"/>
  </sheets>
  <definedNames>
    <definedName name="_xlnm._FilterDatabase" localSheetId="2" hidden="1">'FAILURE State'!$A$1:$F$216</definedName>
    <definedName name="_xlnm._FilterDatabase" localSheetId="0" hidden="1">'Test Cases'!$A$8:$O$529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5" i="1" l="1"/>
  <c r="S4" i="1"/>
  <c r="P5" i="1"/>
  <c r="P4" i="1"/>
  <c r="M5" i="1"/>
  <c r="M4" i="1"/>
  <c r="C21" i="7"/>
  <c r="F20" i="7"/>
  <c r="E20" i="7"/>
  <c r="D20" i="7"/>
  <c r="C20" i="7"/>
  <c r="G21" i="7"/>
  <c r="G20" i="7"/>
  <c r="I20" i="7"/>
  <c r="H20" i="7"/>
  <c r="I21" i="7"/>
  <c r="H21" i="7"/>
  <c r="F21" i="7"/>
  <c r="E21" i="7"/>
  <c r="D21" i="7"/>
  <c r="G18" i="7"/>
  <c r="G19" i="7" s="1"/>
  <c r="F18" i="7"/>
  <c r="F19" i="7" s="1"/>
  <c r="E18" i="7"/>
  <c r="E19" i="7" s="1"/>
  <c r="D18" i="7"/>
  <c r="D19" i="7" s="1"/>
  <c r="C18" i="7"/>
  <c r="C19" i="7" s="1"/>
  <c r="I18" i="7"/>
  <c r="I19" i="7" s="1"/>
  <c r="H18" i="7"/>
  <c r="H19" i="7" s="1"/>
  <c r="S6" i="1" l="1"/>
  <c r="P6" i="1"/>
  <c r="M6" i="1"/>
</calcChain>
</file>

<file path=xl/sharedStrings.xml><?xml version="1.0" encoding="utf-8"?>
<sst xmlns="http://schemas.openxmlformats.org/spreadsheetml/2006/main" count="11237" uniqueCount="1803">
  <si>
    <t>Test Type</t>
  </si>
  <si>
    <t>Initial Condition(s)</t>
  </si>
  <si>
    <t>Test Inputs</t>
  </si>
  <si>
    <t>Expected Result(s)</t>
  </si>
  <si>
    <t>Pass/Fail Criteria</t>
  </si>
  <si>
    <t>Requirement Trace</t>
  </si>
  <si>
    <t>Test Objective</t>
  </si>
  <si>
    <t>Reference Requirements</t>
  </si>
  <si>
    <t>NA</t>
  </si>
  <si>
    <t>Test Case</t>
  </si>
  <si>
    <t>Remarks</t>
  </si>
  <si>
    <t>SWVCP_AAP_TC_ELECTRONIC_RIGGING_1_001</t>
  </si>
  <si>
    <t>SWVCP_AAP_TC_ELECTRONIC_RIGGING_1_002</t>
  </si>
  <si>
    <t>SWVCP_AAP_TC_ELECTRONIC_RIGGING_1_003</t>
  </si>
  <si>
    <t>SWVCP_AAP_TC_ELECTRONIC_RIGGING_1_004</t>
  </si>
  <si>
    <t>SWVCP_AAP_TC_ELECTRONIC_RIGGING_1_005</t>
  </si>
  <si>
    <t>SWVCP_AAP_TC_ELECTRONIC_RIGGING_1_006</t>
  </si>
  <si>
    <t>SWVCP_AAP_TC_ELECTRONIC_RIGGING_1_007</t>
  </si>
  <si>
    <t>SWVCP_AAP_TC_ELECTRONIC_RIGGING_1_008</t>
  </si>
  <si>
    <t>SWVCP_AAP_TC_ELECTRONIC_RIGGING_1_009</t>
  </si>
  <si>
    <t>SWVCP_AAP_TC_ELECTRONIC_RIGGING_1_010</t>
  </si>
  <si>
    <t>SWVCP_AAP_TC_ELECTRONIC_RIGGING_1_011</t>
  </si>
  <si>
    <t>SWVCP_AAP_TC_ELECTRONIC_RIGGING_1_012</t>
  </si>
  <si>
    <t>SWVCP_AAP_TC_ELECTRONIC_RIGGING_1_013</t>
  </si>
  <si>
    <t>SWVCP_AAP_TC_ELECTRONIC_RIGGING_1_014</t>
  </si>
  <si>
    <t>SWVCP_AAP_TC_ELECTRONIC_RIGGING_1_015</t>
  </si>
  <si>
    <t>SWVCP_AAP_TC_ELECTRONIC_RIGGING_1_016</t>
  </si>
  <si>
    <t>SWVCP_AAP_TC_ELECTRONIC_RIGGING_1_017</t>
  </si>
  <si>
    <t>SWVCP_AAP_TC_ELECTRONIC_RIGGING_1_018</t>
  </si>
  <si>
    <t>SWVCP_AAP_TC_ELECTRONIC_RIGGING_1_019</t>
  </si>
  <si>
    <t>SWVCP_AAP_TC_ELECTRONIC_RIGGING_1_020</t>
  </si>
  <si>
    <t>SWVCP_AAP_TC_ELECTRONIC_RIGGING_1_021</t>
  </si>
  <si>
    <t>SWVCP_AAP_TC_ELECTRONIC_RIGGING_1_022</t>
  </si>
  <si>
    <t>SWVCP_AAP_TC_ELECTRONIC_RIGGING_1_023</t>
  </si>
  <si>
    <t>SWVCP_AAP_TC_ELECTRONIC_RIGGING_1_024</t>
  </si>
  <si>
    <t>SWVCP_AAP_TC_ELECTRONIC_RIGGING_1_037</t>
  </si>
  <si>
    <t>SWVCP_AAP_TC_ELECTRONIC_RIGGING_1_038</t>
  </si>
  <si>
    <t>SWVCP_AAP_TC_ELECTRONIC_RIGGING_1_039</t>
  </si>
  <si>
    <t>SWVCP_AAP_TC_ELECTRONIC_RIGGING_1_040</t>
  </si>
  <si>
    <t>SWVCP_AAP_TC_ELECTRONIC_RIGGING_1_041</t>
  </si>
  <si>
    <t>SWVCP_AAP_TC_ELECTRONIC_RIGGING_1_042</t>
  </si>
  <si>
    <t>SWVCP_AAP_TC_ELECTRONIC_RIGGING_1_043</t>
  </si>
  <si>
    <t>SWVCP_AAP_TC_ELECTRONIC_RIGGING_1_044</t>
  </si>
  <si>
    <t>SWVCP_AAP_TC_ELECTRONIC_RIGGING_1_045</t>
  </si>
  <si>
    <t>SWVCP_AAP_TC_ELECTRONIC_RIGGING_1_046</t>
  </si>
  <si>
    <t>SWVCP_AAP_TC_ELECTRONIC_RIGGING_1_047</t>
  </si>
  <si>
    <t>SWVCP_AAP_TC_ELECTRONIC_RIGGING_1_048</t>
  </si>
  <si>
    <t>SWVCP_AAP_TC_ELECTRONIC_RIGGING_1_049</t>
  </si>
  <si>
    <t>SWVCP_AAP_TC_ELECTRONIC_RIGGING_1_050</t>
  </si>
  <si>
    <t>SWVCP_AAP_TC_ELECTRONIC_RIGGING_1_051</t>
  </si>
  <si>
    <t>SWVCP_AAP_TC_ELECTRONIC_RIGGING_1_052</t>
  </si>
  <si>
    <t>SWVCP_AAP_TC_ELECTRONIC_RIGGING_1_053</t>
  </si>
  <si>
    <t>SWVCP_AAP_TC_ELECTRONIC_RIGGING_1_054</t>
  </si>
  <si>
    <t>SWVCP_AAP_TC_ELECTRONIC_RIGGING_1_055</t>
  </si>
  <si>
    <t>SWVCP_AAP_TC_ELECTRONIC_RIGGING_1_056</t>
  </si>
  <si>
    <t>SWVCP_AAP_TC_ELECTRONIC_RIGGING_1_057</t>
  </si>
  <si>
    <t>NONE</t>
  </si>
  <si>
    <t>NORMAL</t>
  </si>
  <si>
    <t>SWVCP_AAP_TC_ELECTRONIC_RIGGING_1_058</t>
  </si>
  <si>
    <t>SWVCP_AAP_TC_ELECTRONIC_RIGGING_1_059</t>
  </si>
  <si>
    <t>SWVCP_AAP_TC_ELECTRONIC_RIGGING_1_060</t>
  </si>
  <si>
    <t>SWVCP_AAP_TC_ELECTRONIC_RIGGING_1_061</t>
  </si>
  <si>
    <t>SWVCP_AAP_TC_ELECTRONIC_RIGGING_1_062</t>
  </si>
  <si>
    <t>SWVCP_AAP_TC_ELECTRONIC_RIGGING_1_063</t>
  </si>
  <si>
    <t>SWVCP_AAP_TC_ELECTRONIC_RIGGING_1_064</t>
  </si>
  <si>
    <t>Expected results matches with the Actual Results.</t>
  </si>
  <si>
    <t>SWVCP_AAP_TC_ELECTRONIC_RIGGING_1_025</t>
  </si>
  <si>
    <t>SWVCP_AAP_TC_ELECTRONIC_RIGGING_1_026</t>
  </si>
  <si>
    <t>SWVCP_AAP_TC_ELECTRONIC_RIGGING_1_027</t>
  </si>
  <si>
    <t>SWVCP_AAP_TC_ELECTRONIC_RIGGING_1_028</t>
  </si>
  <si>
    <t>SWVCP_AAP_TC_ELECTRONIC_RIGGING_1_029</t>
  </si>
  <si>
    <t>SWVCP_AAP_TC_ELECTRONIC_RIGGING_1_030</t>
  </si>
  <si>
    <t>SWVCP_AAP_TC_ELECTRONIC_RIGGING_1_031</t>
  </si>
  <si>
    <t>SWVCP_AAP_TC_ELECTRONIC_RIGGING_1_032</t>
  </si>
  <si>
    <t>SWVCP_AAP_TC_ELECTRONIC_RIGGING_1_033</t>
  </si>
  <si>
    <t>SWVCP_AAP_TC_ELECTRONIC_RIGGING_1_034</t>
  </si>
  <si>
    <t>SWVCP_AAP_TC_ELECTRONIC_RIGGING_1_035</t>
  </si>
  <si>
    <t>SWVCP_AAP_TC_ELECTRONIC_RIGGING_1_036</t>
  </si>
  <si>
    <t>SWVCP_AAP_TC_ELECTRONIC_RIGGING_1_065</t>
  </si>
  <si>
    <t>SWVCP_AAP_TC_ELECTRONIC_RIGGING_1_066</t>
  </si>
  <si>
    <t>SWVCP_AAP_TC_ELECTRONIC_RIGGING_1_067</t>
  </si>
  <si>
    <t>SWVCP_AAP_TC_ELECTRONIC_RIGGING_1_068</t>
  </si>
  <si>
    <t>SWVCP_AAP_TC_ELECTRONIC_RIGGING_1_069</t>
  </si>
  <si>
    <t>SWVCP_AAP_TC_ELECTRONIC_RIGGING_1_070</t>
  </si>
  <si>
    <t>SWVCP_AAP_TC_ELECTRONIC_RIGGING_1_071</t>
  </si>
  <si>
    <t>SWVCP_AAP_TC_ELECTRONIC_RIGGING_1_072</t>
  </si>
  <si>
    <t>SWVCP_AAP_TC_ELECTRONIC_RIGGING_1_073</t>
  </si>
  <si>
    <t>SWVCP_AAP_TC_ELECTRONIC_RIGGING_1_074</t>
  </si>
  <si>
    <t>SWVCP_AAP_TC_ELECTRONIC_RIGGING_1_075</t>
  </si>
  <si>
    <t>SWVCP_AAP_TC_ELECTRONIC_RIGGING_1_076</t>
  </si>
  <si>
    <t>SWVCP_AAP_TC_ELECTRONIC_RIGGING_1_077</t>
  </si>
  <si>
    <t>SWVCP_AAP_TC_ELECTRONIC_RIGGING_1_078</t>
  </si>
  <si>
    <t>SWVCP_AAP_TC_ELECTRONIC_RIGGING_1_079</t>
  </si>
  <si>
    <t>SWVCP_AAP_TC_ELECTRONIC_RIGGING_1_080</t>
  </si>
  <si>
    <t>SWVCP_AAP_TC_ELECTRONIC_RIGGING_1_081</t>
  </si>
  <si>
    <t>SWVCP_AAP_TC_ELECTRONIC_RIGGING_1_082</t>
  </si>
  <si>
    <t>SWVCP_AAP_TC_ELECTRONIC_RIGGING_1_083</t>
  </si>
  <si>
    <t>SWVCP_AAP_TC_ELECTRONIC_RIGGING_1_084</t>
  </si>
  <si>
    <t>SWVCP_AAP_TC_ELECTRONIC_RIGGING_1_085</t>
  </si>
  <si>
    <t>SWVCP_AAP_TC_ELECTRONIC_RIGGING_1_086</t>
  </si>
  <si>
    <t>SWVCP_AAP_TC_ELECTRONIC_RIGGING_1_087</t>
  </si>
  <si>
    <t>SWVCP_AAP_TC_ELECTRONIC_RIGGING_1_088</t>
  </si>
  <si>
    <t>SWVCP_AAP_TC_ELECTRONIC_RIGGING_1_089</t>
  </si>
  <si>
    <t>SWVCP_AAP_TC_ELECTRONIC_RIGGING_1_090</t>
  </si>
  <si>
    <t>SWVCP_AAP_TC_ELECTRONIC_RIGGING_1_091</t>
  </si>
  <si>
    <t>SWVCP_AAP_TC_ELECTRONIC_RIGGING_1_092</t>
  </si>
  <si>
    <t>SWVCP_AAP_TC_ELECTRONIC_RIGGING_1_093</t>
  </si>
  <si>
    <t>SWVCP_AAP_TC_ELECTRONIC_RIGGING_1_094</t>
  </si>
  <si>
    <t>SWVCP_AAP_TC_ELECTRONIC_RIGGING_1_095</t>
  </si>
  <si>
    <t>FLIGHT_MODE</t>
  </si>
  <si>
    <t>None</t>
  </si>
  <si>
    <t>EBMCESWRS-9655</t>
  </si>
  <si>
    <t>SWVCP_AAP_TC_ELECTRONIC_RIGGING_1_096</t>
  </si>
  <si>
    <t>SWVCP_AAP_TC_ELECTRONIC_RIGGING_1_097</t>
  </si>
  <si>
    <t>SWVCP_AAP_TC_ELECTRONIC_RIGGING_1_098</t>
  </si>
  <si>
    <t>SWVCP_AAP_TC_ELECTRONIC_RIGGING_1_099</t>
  </si>
  <si>
    <t>SWVCP_AAP_TC_ELECTRONIC_RIGGING_1_100</t>
  </si>
  <si>
    <t>SWVCP_AAP_TC_ELECTRONIC_RIGGING_1_101</t>
  </si>
  <si>
    <t>SWVCP_AAP_TC_ELECTRONIC_RIGGING_1_102</t>
  </si>
  <si>
    <t>SWVCP_AAP_TC_ELECTRONIC_RIGGING_1_103</t>
  </si>
  <si>
    <t>SWVCP_AAP_TC_ELECTRONIC_RIGGING_1_104</t>
  </si>
  <si>
    <t>SWVCP_AAP_TC_ELECTRONIC_RIGGING_1_105</t>
  </si>
  <si>
    <t>SWVCP_AAP_TC_ELECTRONIC_RIGGING_1_106</t>
  </si>
  <si>
    <t>SWVCP_AAP_TC_ELECTRONIC_RIGGING_1_107</t>
  </si>
  <si>
    <t>SWVCP_AAP_TC_ELECTRONIC_RIGGING_1_108</t>
  </si>
  <si>
    <t>SWVCP_AAP_TC_ELECTRONIC_RIGGING_1_109</t>
  </si>
  <si>
    <t>SWVCP_AAP_TC_ELECTRONIC_RIGGING_1_110</t>
  </si>
  <si>
    <t>SWVCP_AAP_TC_ELECTRONIC_RIGGING_1_111</t>
  </si>
  <si>
    <t>SWVCP_AAP_TC_ELECTRONIC_RIGGING_1_112</t>
  </si>
  <si>
    <t>SWVCP_AAP_TC_ELECTRONIC_RIGGING_1_113</t>
  </si>
  <si>
    <t>SWVCP_AAP_TC_ELECTRONIC_RIGGING_1_114</t>
  </si>
  <si>
    <t>SWVCP_AAP_TC_ELECTRONIC_RIGGING_1_115</t>
  </si>
  <si>
    <t>SWVCP_AAP_TC_ELECTRONIC_RIGGING_1_116</t>
  </si>
  <si>
    <t>SWVCP_AAP_TC_ELECTRONIC_RIGGING_1_117</t>
  </si>
  <si>
    <t>SWVCP_AAP_TC_ELECTRONIC_RIGGING_1_118</t>
  </si>
  <si>
    <t>SWVCP_AAP_TC_ELECTRONIC_RIGGING_1_119</t>
  </si>
  <si>
    <t>SWVCP_AAP_TC_ELECTRONIC_RIGGING_1_120</t>
  </si>
  <si>
    <t>SWVCP_AAP_TC_ELECTRONIC_RIGGING_1_121</t>
  </si>
  <si>
    <t>SWVCP_AAP_TC_ELECTRONIC_RIGGING_1_122</t>
  </si>
  <si>
    <t>SWVCP_AAP_TC_ELECTRONIC_RIGGING_1_123</t>
  </si>
  <si>
    <t>SWVCP_AAP_TC_ELECTRONIC_RIGGING_1_124</t>
  </si>
  <si>
    <t>SWVCP_AAP_TC_ELECTRONIC_RIGGING_1_125</t>
  </si>
  <si>
    <t>SWVCP_AAP_TC_ELECTRONIC_RIGGING_1_126</t>
  </si>
  <si>
    <t>SWVCP_AAP_TC_ELECTRONIC_RIGGING_1_127</t>
  </si>
  <si>
    <t>SWVCP_AAP_TC_ELECTRONIC_RIGGING_1_128</t>
  </si>
  <si>
    <t>SWVCP_AAP_TC_ELECTRONIC_RIGGING_1_129</t>
  </si>
  <si>
    <t>SWVCP_AAP_TC_ELECTRONIC_RIGGING_1_130</t>
  </si>
  <si>
    <t>SWVCP_AAP_TC_ELECTRONIC_RIGGING_1_131</t>
  </si>
  <si>
    <t>SWVCP_AAP_TC_ELECTRONIC_RIGGING_1_132</t>
  </si>
  <si>
    <t>SWVCP_AAP_TC_ELECTRONIC_RIGGING_1_133</t>
  </si>
  <si>
    <t>SWVCP_AAP_TC_ELECTRONIC_RIGGING_1_134</t>
  </si>
  <si>
    <t>SWVCP_AAP_TC_ELECTRONIC_RIGGING_1_135</t>
  </si>
  <si>
    <t>SWVCP_AAP_TC_ELECTRONIC_RIGGING_1_136</t>
  </si>
  <si>
    <t>SWVCP_AAP_TC_ELECTRONIC_RIGGING_1_137</t>
  </si>
  <si>
    <t>SWVCP_AAP_TC_ELECTRONIC_RIGGING_1_138</t>
  </si>
  <si>
    <t>SWVCP_AAP_TC_ELECTRONIC_RIGGING_1_139</t>
  </si>
  <si>
    <t>SWVCP_AAP_TC_ELECTRONIC_RIGGING_1_140</t>
  </si>
  <si>
    <t>SWVCP_AAP_TC_ELECTRONIC_RIGGING_1_141</t>
  </si>
  <si>
    <t>SWVCP_AAP_TC_ELECTRONIC_RIGGING_1_142</t>
  </si>
  <si>
    <t>SWVCP_AAP_TC_ELECTRONIC_RIGGING_1_143</t>
  </si>
  <si>
    <t>SWVCP_AAP_TC_ELECTRONIC_RIGGING_1_144</t>
  </si>
  <si>
    <t>SWVCP_AAP_TC_ELECTRONIC_RIGGING_1_145</t>
  </si>
  <si>
    <t>SWVCP_AAP_TC_ELECTRONIC_RIGGING_1_146</t>
  </si>
  <si>
    <t>SWVCP_AAP_TC_ELECTRONIC_RIGGING_1_147</t>
  </si>
  <si>
    <t>SWVCP_AAP_TC_ELECTRONIC_RIGGING_1_148</t>
  </si>
  <si>
    <t>SWVCP_AAP_TC_ELECTRONIC_RIGGING_1_149</t>
  </si>
  <si>
    <t>SWVCP_AAP_TC_ELECTRONIC_RIGGING_1_150</t>
  </si>
  <si>
    <t>SWVCP_AAP_TC_ELECTRONIC_RIGGING_1_151</t>
  </si>
  <si>
    <t>SWVCP_AAP_TC_ELECTRONIC_RIGGING_1_152</t>
  </si>
  <si>
    <t>SWVCP_AAP_TC_ELECTRONIC_RIGGING_1_153</t>
  </si>
  <si>
    <t>SWVCP_AAP_TC_ELECTRONIC_RIGGING_1_154</t>
  </si>
  <si>
    <t>SWVCP_AAP_TC_ELECTRONIC_RIGGING_1_155</t>
  </si>
  <si>
    <t>SWVCP_AAP_TC_ELECTRONIC_RIGGING_1_156</t>
  </si>
  <si>
    <t>SWVCP_AAP_TC_ELECTRONIC_RIGGING_1_157</t>
  </si>
  <si>
    <t>SWVCP_AAP_TC_ELECTRONIC_RIGGING_1_158</t>
  </si>
  <si>
    <t>SWVCP_AAP_TC_ELECTRONIC_RIGGING_1_159</t>
  </si>
  <si>
    <t>SWVCP_AAP_TC_ELECTRONIC_RIGGING_1_160</t>
  </si>
  <si>
    <t>SWVCP_AAP_TC_ELECTRONIC_RIGGING_1_161</t>
  </si>
  <si>
    <t>SWVCP_AAP_TC_ELECTRONIC_RIGGING_1_162</t>
  </si>
  <si>
    <t>SWVCP_AAP_TC_ELECTRONIC_RIGGING_1_163</t>
  </si>
  <si>
    <t>SWVCP_AAP_TC_ELECTRONIC_RIGGING_1_164</t>
  </si>
  <si>
    <t>SWVCP_AAP_TC_ELECTRONIC_RIGGING_1_165</t>
  </si>
  <si>
    <t>SWVCP_AAP_TC_ELECTRONIC_RIGGING_1_166</t>
  </si>
  <si>
    <t>SWVCP_AAP_TC_ELECTRONIC_RIGGING_1_167</t>
  </si>
  <si>
    <t>SWVCP_AAP_TC_ELECTRONIC_RIGGING_1_168</t>
  </si>
  <si>
    <t>SWVCP_AAP_TC_ELECTRONIC_RIGGING_1_169</t>
  </si>
  <si>
    <t>SWVCP_AAP_TC_ELECTRONIC_RIGGING_1_170</t>
  </si>
  <si>
    <t>SWVCP_AAP_TC_ELECTRONIC_RIGGING_1_171</t>
  </si>
  <si>
    <t>SWVCP_AAP_TC_ELECTRONIC_RIGGING_1_172</t>
  </si>
  <si>
    <t>SWVCP_AAP_TC_ELECTRONIC_RIGGING_1_173</t>
  </si>
  <si>
    <t>SWVCP_AAP_TC_ELECTRONIC_RIGGING_1_174</t>
  </si>
  <si>
    <t>SWVCP_AAP_TC_ELECTRONIC_RIGGING_1_175</t>
  </si>
  <si>
    <t>SWVCP_AAP_TC_ELECTRONIC_RIGGING_1_176</t>
  </si>
  <si>
    <t>SWVCP_AAP_TC_ELECTRONIC_RIGGING_1_177</t>
  </si>
  <si>
    <t>SWVCP_AAP_TC_ELECTRONIC_RIGGING_1_178</t>
  </si>
  <si>
    <t>SWVCP_AAP_TC_ELECTRONIC_RIGGING_1_179</t>
  </si>
  <si>
    <t>SWVCP_AAP_TC_ELECTRONIC_RIGGING_1_180</t>
  </si>
  <si>
    <t>SWVCP_AAP_TC_ELECTRONIC_RIGGING_1_181</t>
  </si>
  <si>
    <t>SWVCP_AAP_TC_ELECTRONIC_RIGGING_1_182</t>
  </si>
  <si>
    <t>SWVCP_AAP_TC_ELECTRONIC_RIGGING_1_183</t>
  </si>
  <si>
    <t>SWVCP_AAP_TC_ELECTRONIC_RIGGING_1_184</t>
  </si>
  <si>
    <t>SWVCP_AAP_TC_ELECTRONIC_RIGGING_1_185</t>
  </si>
  <si>
    <t>SWVCP_AAP_TC_ELECTRONIC_RIGGING_1_186</t>
  </si>
  <si>
    <t>SWVCP_AAP_TC_ELECTRONIC_RIGGING_1_187</t>
  </si>
  <si>
    <t>SWVCP_AAP_TC_ELECTRONIC_RIGGING_1_188</t>
  </si>
  <si>
    <t>SWVCP_AAP_TC_ELECTRONIC_RIGGING_1_189</t>
  </si>
  <si>
    <t>SWVCP_AAP_TC_ELECTRONIC_RIGGING_1_190</t>
  </si>
  <si>
    <t>SWVCP_AAP_TC_ELECTRONIC_RIGGING_1_191</t>
  </si>
  <si>
    <t>SWVCP_AAP_TC_ELECTRONIC_RIGGING_1_192</t>
  </si>
  <si>
    <t>SWVCP_AAP_TC_ELECTRONIC_RIGGING_1_193</t>
  </si>
  <si>
    <t>SWVCP_AAP_TC_ELECTRONIC_RIGGING_1_194</t>
  </si>
  <si>
    <t>SWVCP_AAP_TC_ELECTRONIC_RIGGING_1_195</t>
  </si>
  <si>
    <t>SWVCP_AAP_TC_ELECTRONIC_RIGGING_1_196</t>
  </si>
  <si>
    <t>SWVCP_AAP_TC_ELECTRONIC_RIGGING_1_197</t>
  </si>
  <si>
    <t>SWVCP_AAP_TC_ELECTRONIC_RIGGING_1_198</t>
  </si>
  <si>
    <t>SWVCP_AAP_TC_ELECTRONIC_RIGGING_1_199</t>
  </si>
  <si>
    <t>SWVCP_AAP_TC_ELECTRONIC_RIGGING_1_200</t>
  </si>
  <si>
    <t>SWVCP_AAP_TC_ELECTRONIC_RIGGING_1_201</t>
  </si>
  <si>
    <t>SWVCP_AAP_TC_ELECTRONIC_RIGGING_1_202</t>
  </si>
  <si>
    <t>SWVCP_AAP_TC_ELECTRONIC_RIGGING_1_203</t>
  </si>
  <si>
    <t>SWVCP_AAP_TC_ELECTRONIC_RIGGING_1_204</t>
  </si>
  <si>
    <t>SWVCP_AAP_TC_ELECTRONIC_RIGGING_1_205</t>
  </si>
  <si>
    <t>SWVCP_AAP_TC_ELECTRONIC_RIGGING_1_206</t>
  </si>
  <si>
    <t>SWVCP_AAP_TC_ELECTRONIC_RIGGING_1_207</t>
  </si>
  <si>
    <t>SWVCP_AAP_TC_ELECTRONIC_RIGGING_1_208</t>
  </si>
  <si>
    <t>SWVCP_AAP_TC_ELECTRONIC_RIGGING_1_209</t>
  </si>
  <si>
    <t>SWVCP_AAP_TC_ELECTRONIC_RIGGING_1_210</t>
  </si>
  <si>
    <t>SWVCP_AAP_TC_ELECTRONIC_RIGGING_1_211</t>
  </si>
  <si>
    <t>SWVCP_AAP_TC_ELECTRONIC_RIGGING_1_212</t>
  </si>
  <si>
    <t>SWVCP_AAP_TC_ELECTRONIC_RIGGING_1_213</t>
  </si>
  <si>
    <t>SWVCP_AAP_TC_ELECTRONIC_RIGGING_1_214</t>
  </si>
  <si>
    <t>SWVCP_AAP_TC_ELECTRONIC_RIGGING_1_215</t>
  </si>
  <si>
    <t>SWVCP_AAP_TP_ELECTRONIC_RIGGING_1.drt</t>
  </si>
  <si>
    <t>SWVCP_AAP_TP_ELECTRONIC_RIGGING_1.tcl</t>
  </si>
  <si>
    <t>SWVCP_AAP_TP_ELECTRONIC_RIGGING_1.tcl
SWVCP_AAP_TP_ELECTRONIC_RIGGING_1_Aileron.tcs</t>
  </si>
  <si>
    <t>SWVCP_AAP_TP_ELECTRONIC_RIGGING_1.tcl
SWVCP_AAP_TP_ELECTRONIC_RIGGING_1_Elevator.tcs</t>
  </si>
  <si>
    <t>SWVCP_AAP_TP_ELECTRONIC_RIGGING_1.tcl
SWVCP_AAP_TP_ELECTRONIC_RIGGING_1_Rudder.tcs</t>
  </si>
  <si>
    <t>SWVCP_AAP_TP_ELECTRONIC_RIGGING_1.tcl
SWVCP_AAP_TP_ELECTRONIC_RIGGING_1_Spoiler.tcs</t>
  </si>
  <si>
    <t>TC ID</t>
  </si>
  <si>
    <t>Script Name</t>
  </si>
  <si>
    <t>DRT name</t>
  </si>
  <si>
    <t>PASS\FAIL</t>
  </si>
  <si>
    <t>Reason</t>
  </si>
  <si>
    <t>FAIL</t>
  </si>
  <si>
    <t>PASS</t>
  </si>
  <si>
    <t>DISCUSSION</t>
  </si>
  <si>
    <t>SWVCP_AAP_TP_ELECTRONIC_RIGGING_1.tcs</t>
  </si>
  <si>
    <t>Corrected cases and script</t>
  </si>
  <si>
    <t>corrected .h</t>
  </si>
  <si>
    <t>corrected .tcs</t>
  </si>
  <si>
    <t>Ram_Position_Raw_Avg_Extend</t>
  </si>
  <si>
    <t>Ram_Position_Raw_Avg_Retract</t>
  </si>
  <si>
    <t>Ram_Position_Raw_Avg_Null</t>
  </si>
  <si>
    <t>AL</t>
  </si>
  <si>
    <t>AR</t>
  </si>
  <si>
    <t>EL</t>
  </si>
  <si>
    <t>ER</t>
  </si>
  <si>
    <t>R</t>
  </si>
  <si>
    <t>SL</t>
  </si>
  <si>
    <t>SR</t>
  </si>
  <si>
    <t>Rig_Offset_Default</t>
  </si>
  <si>
    <t>Rig_SFC_Default</t>
  </si>
  <si>
    <t>REU_Ram_Position_Raw_Avg_Extend</t>
  </si>
  <si>
    <t>REU_Ram_Position_Raw_Avg_Retract</t>
  </si>
  <si>
    <t>Max Stroke - Spoiler, Rudder</t>
  </si>
  <si>
    <t>K_Rig_New</t>
  </si>
  <si>
    <t>Rig_Offset_New</t>
  </si>
  <si>
    <t>Lower_Limit_EBMCE_NVM_New</t>
  </si>
  <si>
    <t>Retract_Error - Aileron, Elevator</t>
  </si>
  <si>
    <t>Upper_Limit_EBMCE_NVM_New</t>
  </si>
  <si>
    <t>Lower_Limit_Rigged - Spoiler, Rudder</t>
  </si>
  <si>
    <t>Extend_Error - Aileron, Elevator</t>
  </si>
  <si>
    <t>Upper_Limit_Rigged - Spoiler, Rudder</t>
  </si>
  <si>
    <t>TYPE 2</t>
  </si>
  <si>
    <t>Need to change to OPEN BOX.</t>
  </si>
  <si>
    <t>Need to ask Nataraj.
This seems to be a sequencing SWRS.</t>
  </si>
  <si>
    <t>STEP 10:</t>
  </si>
  <si>
    <t>STEP 15:</t>
  </si>
  <si>
    <t>STEP 16:</t>
  </si>
  <si>
    <t>STEP 17:</t>
  </si>
  <si>
    <t>STEP 24:</t>
  </si>
  <si>
    <t>STEP 25:</t>
  </si>
  <si>
    <t>STEP 27:</t>
  </si>
  <si>
    <t>STEP 32:</t>
  </si>
  <si>
    <t>STEP 33:</t>
  </si>
  <si>
    <t>STEP 35:</t>
  </si>
  <si>
    <t>STEP 5:</t>
  </si>
  <si>
    <t>Step Changed?</t>
  </si>
  <si>
    <t>Table?</t>
  </si>
  <si>
    <t>No</t>
  </si>
  <si>
    <t>Yes</t>
  </si>
  <si>
    <t>Sample_1_Part_1_001</t>
  </si>
  <si>
    <t>Sample_1_Part_1_002</t>
  </si>
  <si>
    <t>Sample_1_Part_1_003</t>
  </si>
  <si>
    <t>Sample_1_Part_1_004</t>
  </si>
  <si>
    <t>Sample_1_Part_1_005</t>
  </si>
  <si>
    <t>Sample_1_Part_1_006</t>
  </si>
  <si>
    <t>Sample_1_Part_1_007</t>
  </si>
  <si>
    <t>Sample_1_Part_1_008</t>
  </si>
  <si>
    <t>Sample_1_Part_1_009</t>
  </si>
  <si>
    <t>Sample_1_Part_1_010</t>
  </si>
  <si>
    <t>Sample_1_Part_1_011</t>
  </si>
  <si>
    <t>Sample_1_Part_1_012</t>
  </si>
  <si>
    <t>Sample_1_Part_1_013</t>
  </si>
  <si>
    <t>Sample_1_Part_1_014</t>
  </si>
  <si>
    <t>Sample_1_Part_1_015</t>
  </si>
  <si>
    <t>Sample_1_Part_1_016</t>
  </si>
  <si>
    <t>Sample_1_Part_1_017</t>
  </si>
  <si>
    <t>Sample_1_Part_1_018</t>
  </si>
  <si>
    <t>Sample_1_Part_1_019</t>
  </si>
  <si>
    <t>Sample_1_Part_1_020</t>
  </si>
  <si>
    <t>Sample_1_Part_1_021</t>
  </si>
  <si>
    <t>Sample_1_Part_1_022</t>
  </si>
  <si>
    <t>Sample_1_Part_1_023</t>
  </si>
  <si>
    <t>Sample_1_Part_1_024</t>
  </si>
  <si>
    <t>Sample_1_Part_1_025</t>
  </si>
  <si>
    <t>Sample_1_Part_1_026</t>
  </si>
  <si>
    <t>Sample_1_Part_1_027</t>
  </si>
  <si>
    <t>Sample_1_Part_1_028</t>
  </si>
  <si>
    <t>Sample_1_Part_1_029</t>
  </si>
  <si>
    <t>Sample_1_Part_1_030</t>
  </si>
  <si>
    <t>Sample_1_Part_1_031</t>
  </si>
  <si>
    <t>Sample_1_Part_1_032</t>
  </si>
  <si>
    <t>Sample_1_Part_1_033</t>
  </si>
  <si>
    <t>Sample_1_Part_1_034</t>
  </si>
  <si>
    <t>Sample_1_Part_1_035</t>
  </si>
  <si>
    <t>Sample_1_Part_1_036</t>
  </si>
  <si>
    <t>Sample_1_Part_1_037</t>
  </si>
  <si>
    <t>Sample_1_Part_1_038</t>
  </si>
  <si>
    <t>Sample_1_Part_1_039</t>
  </si>
  <si>
    <t>Sample_1_Part_1_040</t>
  </si>
  <si>
    <t>Sample_1_Part_1_041</t>
  </si>
  <si>
    <t>Sample_1_Part_1_042</t>
  </si>
  <si>
    <t>Sample_1_Part_1_043</t>
  </si>
  <si>
    <t>Sample_1_Part_1_044</t>
  </si>
  <si>
    <t>Sample_1_Part_1_045</t>
  </si>
  <si>
    <t>Sample_1_Part_1_046</t>
  </si>
  <si>
    <t>Sample_1_Part_1_047</t>
  </si>
  <si>
    <t>Sample_1_Part_1_048</t>
  </si>
  <si>
    <t>Sample_1_Part_1_049</t>
  </si>
  <si>
    <t>Sample_1_Part_1_050</t>
  </si>
  <si>
    <t>Sample_1_Part_1_051</t>
  </si>
  <si>
    <t>Sample_1_Part_1_052</t>
  </si>
  <si>
    <t>Sample_1_Part_1_053</t>
  </si>
  <si>
    <t>Sample_1_Part_1_054</t>
  </si>
  <si>
    <t>Sample_1_Part_1_055</t>
  </si>
  <si>
    <t>Sample_1_Part_1_056</t>
  </si>
  <si>
    <t>Sample_1_Part_1_057</t>
  </si>
  <si>
    <t>Sample_1_Part_1_058</t>
  </si>
  <si>
    <t>Sample_1_Part_1_059</t>
  </si>
  <si>
    <t>Sample_1_Part_1_060</t>
  </si>
  <si>
    <t>Sample_1_Part_1_061</t>
  </si>
  <si>
    <t>Sample_1_Part_1_062</t>
  </si>
  <si>
    <t>Sample_1_Part_1_063</t>
  </si>
  <si>
    <t>Sample_1_Part_1_064</t>
  </si>
  <si>
    <t>Sample_1_Part_1_065</t>
  </si>
  <si>
    <t>Sample_1_Part_1_066</t>
  </si>
  <si>
    <t>Sample_1_Part_1_067</t>
  </si>
  <si>
    <t>Sample_1_Part_1_068</t>
  </si>
  <si>
    <t>Sample_1_Part_1_069</t>
  </si>
  <si>
    <t>Sample_1_Part_1_070</t>
  </si>
  <si>
    <t>Sample_1_Part_1_071</t>
  </si>
  <si>
    <t>Sample_1_Part_1_072</t>
  </si>
  <si>
    <t>Sample_1_Part_1_073</t>
  </si>
  <si>
    <t>Sample_1_Part_1_074</t>
  </si>
  <si>
    <t>Sample_1_Part_1_075</t>
  </si>
  <si>
    <t>Sample_1_Part_1_076</t>
  </si>
  <si>
    <t>Sample_1_Part_1_077</t>
  </si>
  <si>
    <t>Sample_1_Part_1_078</t>
  </si>
  <si>
    <t>Sample_1_Part_1_079</t>
  </si>
  <si>
    <t>Sample_1_Part_1_080</t>
  </si>
  <si>
    <t>Sample_1_Part_1_081</t>
  </si>
  <si>
    <t>Sample_1_Part_1_082</t>
  </si>
  <si>
    <t>Sample_1_Part_1_083</t>
  </si>
  <si>
    <t>Sample_1_Part_1_084</t>
  </si>
  <si>
    <t>Sample_1_Part_1_085</t>
  </si>
  <si>
    <t>Sample_1_Part_1_086</t>
  </si>
  <si>
    <t>Sample_1_Part_1_087</t>
  </si>
  <si>
    <t>Sample_1_Part_1_088</t>
  </si>
  <si>
    <t>Sample_1_Part_1_089</t>
  </si>
  <si>
    <t>Sample_1_Part_1_090</t>
  </si>
  <si>
    <t>Sample_1_Part_1_091</t>
  </si>
  <si>
    <t>Sample_1_Part_1_092</t>
  </si>
  <si>
    <t>Sample_1_Part_1_093</t>
  </si>
  <si>
    <t>Sample_1_Part_1_094</t>
  </si>
  <si>
    <t>Sample_1_Part_1_095</t>
  </si>
  <si>
    <t>Sample_1_Part_1_096</t>
  </si>
  <si>
    <t>Sample_1_Part_1_097</t>
  </si>
  <si>
    <t>Sample_1_Part_1_098</t>
  </si>
  <si>
    <t>Sample_1_Part_1_099</t>
  </si>
  <si>
    <t>Sample_1_Part_1_100</t>
  </si>
  <si>
    <t>Sample_1_Part_1_101</t>
  </si>
  <si>
    <t>Sample_1_Part_1_102</t>
  </si>
  <si>
    <t>Sample_1_Part_1_103</t>
  </si>
  <si>
    <t>Sample_1_Part_1_104</t>
  </si>
  <si>
    <t>Sample_1_Part_1_105</t>
  </si>
  <si>
    <t>Sample_1_Part_1_106</t>
  </si>
  <si>
    <t>Sample_1_Part_1_107</t>
  </si>
  <si>
    <t>Sample_1_Part_1_108</t>
  </si>
  <si>
    <t>Sample_1_Part_1_109</t>
  </si>
  <si>
    <t>Sample_1_Part_1_110</t>
  </si>
  <si>
    <t>Sample_1_Part_1_111</t>
  </si>
  <si>
    <t>Sample_1_Part_1_112</t>
  </si>
  <si>
    <t>Sample_1_Part_1_113</t>
  </si>
  <si>
    <t>Sample_1_Part_1_114</t>
  </si>
  <si>
    <t>Sample_1_Part_1_115</t>
  </si>
  <si>
    <t>Sample_1_Part_1_116</t>
  </si>
  <si>
    <t>Sample_1_Part_1_117</t>
  </si>
  <si>
    <t>Sample_1_Part_1_118</t>
  </si>
  <si>
    <t>Sample_1_Part_1_119</t>
  </si>
  <si>
    <t>Sample_1_Part_1_120</t>
  </si>
  <si>
    <t>Sample_1_Part_1_121</t>
  </si>
  <si>
    <t>Sample_1_Part_1_122</t>
  </si>
  <si>
    <t>Sample_1_Part_1_123</t>
  </si>
  <si>
    <t>Sample_1_Part_1_124</t>
  </si>
  <si>
    <t>Sample_1_Part_1_125</t>
  </si>
  <si>
    <t>Sample_1_Part_1_126</t>
  </si>
  <si>
    <t>Sample_1_Part_1_127</t>
  </si>
  <si>
    <t>Sample_1_Part_1_128</t>
  </si>
  <si>
    <t>Sample_1_Part_1_129</t>
  </si>
  <si>
    <t>Sample_1_Part_1_130</t>
  </si>
  <si>
    <t>Sample_1_Part_1_131</t>
  </si>
  <si>
    <t>Sample_1_Part_1_132</t>
  </si>
  <si>
    <t>Sample_1_Part_1_133</t>
  </si>
  <si>
    <t>Sample_1_Part_1_134</t>
  </si>
  <si>
    <t>Sample_1_Part_1_135</t>
  </si>
  <si>
    <t>Sample_1_Part_1_136</t>
  </si>
  <si>
    <t>Sample_1_Part_1_137</t>
  </si>
  <si>
    <t>Sample_1_Part_1_138</t>
  </si>
  <si>
    <t>Sample_1_Part_1_139</t>
  </si>
  <si>
    <t>Sample_1_Part_1_140</t>
  </si>
  <si>
    <t>Sample_1_Part_1_141</t>
  </si>
  <si>
    <t>Sample_1_Part_1_142</t>
  </si>
  <si>
    <t>Sample_1_Part_1_143</t>
  </si>
  <si>
    <t>Sample_1_Part_1_144</t>
  </si>
  <si>
    <t>Sample_1_Part_1_145</t>
  </si>
  <si>
    <t>Sample_1_Part_1_146</t>
  </si>
  <si>
    <t>Sample_1_Part_1_147</t>
  </si>
  <si>
    <t>Sample_1_Part_1_148</t>
  </si>
  <si>
    <t>Sample_1_Part_1_149</t>
  </si>
  <si>
    <t>Sample_1_Part_1_150</t>
  </si>
  <si>
    <t>Sample_1_Part_1_151</t>
  </si>
  <si>
    <t>Sample_1_Part_1_152</t>
  </si>
  <si>
    <t>Sample_1_Part_1_153</t>
  </si>
  <si>
    <t>Sample_1_Part_1_154</t>
  </si>
  <si>
    <t>Sample_1_Part_1_155</t>
  </si>
  <si>
    <t>Sample_1_Part_1_156</t>
  </si>
  <si>
    <t>Sample_1_Part_1_157</t>
  </si>
  <si>
    <t>Sample_1_Part_1_158</t>
  </si>
  <si>
    <t>Sample_1_Part_1_159</t>
  </si>
  <si>
    <t>Sample_1_Part_1_160</t>
  </si>
  <si>
    <t>Sample_1_Part_1_161</t>
  </si>
  <si>
    <t>Sample_1_Part_1_162</t>
  </si>
  <si>
    <t>Sample_1_Part_1_163</t>
  </si>
  <si>
    <t>Sample_1_Part_1_164</t>
  </si>
  <si>
    <t>Sample_1_Part_1_165</t>
  </si>
  <si>
    <t>Sample_1_Part_1_166</t>
  </si>
  <si>
    <t>Sample_1_Part_1_167</t>
  </si>
  <si>
    <t>Sample_1_Part_1_168</t>
  </si>
  <si>
    <t>Sample_1_Part_1_169</t>
  </si>
  <si>
    <t>Sample_1_Part_1_170</t>
  </si>
  <si>
    <t>Sample_1_Part_1_171</t>
  </si>
  <si>
    <t>Sample_1_Part_1_172</t>
  </si>
  <si>
    <t>Sample_1_Part_1_173</t>
  </si>
  <si>
    <t>Sample_1_Part_1_174</t>
  </si>
  <si>
    <t>Sample_1_Part_1_175</t>
  </si>
  <si>
    <t>Sample_1_Part_1_176</t>
  </si>
  <si>
    <t>Sample_1_Part_1_177</t>
  </si>
  <si>
    <t>Sample_1_Part_1_178</t>
  </si>
  <si>
    <t>Sample_1_Part_1_179</t>
  </si>
  <si>
    <t>Sample_1_Part_1_180</t>
  </si>
  <si>
    <t>Sample_1_Part_1_181</t>
  </si>
  <si>
    <t>Sample_1_Part_1_182</t>
  </si>
  <si>
    <t>Sample_1_Part_1_183</t>
  </si>
  <si>
    <t>Sample_1_Part_1_184</t>
  </si>
  <si>
    <t>Sample_1_Part_1_185</t>
  </si>
  <si>
    <t>Sample_1_Part_1_186</t>
  </si>
  <si>
    <t>Sample_1_Part_1_187</t>
  </si>
  <si>
    <t>Sample_1_Part_1_188</t>
  </si>
  <si>
    <t>Sample_1_Part_1_189</t>
  </si>
  <si>
    <t>Sample_1_Part_1_190</t>
  </si>
  <si>
    <t>Sample_1_Part_1_191</t>
  </si>
  <si>
    <t>Sample_1_Part_1_192</t>
  </si>
  <si>
    <t>Sample_1_Part_1_193</t>
  </si>
  <si>
    <t>Sample_1_Part_1_194</t>
  </si>
  <si>
    <t>Sample_1_Part_1_195</t>
  </si>
  <si>
    <t>Sample_1_Part_1_196</t>
  </si>
  <si>
    <t>Sample_1_Part_1_197</t>
  </si>
  <si>
    <t>Sample_1_Part_1_198</t>
  </si>
  <si>
    <t>Sample_1_Part_1_199</t>
  </si>
  <si>
    <t>Sample_1_Part_1_200</t>
  </si>
  <si>
    <t>Sample_1_Part_1_201</t>
  </si>
  <si>
    <t>Sample_1_Part_1_202</t>
  </si>
  <si>
    <t>Sample_1_Part_1_203</t>
  </si>
  <si>
    <t>Sample_1_Part_1_204</t>
  </si>
  <si>
    <t>Sample_1_Part_1_205</t>
  </si>
  <si>
    <t>Sample_1_Part_1_206</t>
  </si>
  <si>
    <t>Sample_1_Part_1_207</t>
  </si>
  <si>
    <t>Sample_1_Part_1_208</t>
  </si>
  <si>
    <t>Sample_1_Part_1_209</t>
  </si>
  <si>
    <t>Sample_1_Part_1_210</t>
  </si>
  <si>
    <t>Sample_1_Part_1_211</t>
  </si>
  <si>
    <t>Sample_1_Part_1_212</t>
  </si>
  <si>
    <t>Sample_1_Part_1_213</t>
  </si>
  <si>
    <t>Sample_1_Part_1_214</t>
  </si>
  <si>
    <t>Sample_1_Part_1_215</t>
  </si>
  <si>
    <t>Sample_1_Part_1_216</t>
  </si>
  <si>
    <t>Sample_1_Part_1_217</t>
  </si>
  <si>
    <t>Sample_1_Part_1_218</t>
  </si>
  <si>
    <t>Sample_1_Part_1_219</t>
  </si>
  <si>
    <t>Sample_1_Part_1_220</t>
  </si>
  <si>
    <t>Sample_1_Part_1_221</t>
  </si>
  <si>
    <t>Sample_1_Part_1_222</t>
  </si>
  <si>
    <t>Sample_1_Part_1_223</t>
  </si>
  <si>
    <t>Sample_1_Part_1_224</t>
  </si>
  <si>
    <t>Sample_1_Part_1_225</t>
  </si>
  <si>
    <t>Sample_1_Part_1_226</t>
  </si>
  <si>
    <t>Sample_1_Part_1_227</t>
  </si>
  <si>
    <t>Sample_1_Part_1_228</t>
  </si>
  <si>
    <t>Sample_1_Part_1_229</t>
  </si>
  <si>
    <t>Sample_1_Part_1_230</t>
  </si>
  <si>
    <t>Sample_1_Part_1_231</t>
  </si>
  <si>
    <t>Sample_1_Part_1_232</t>
  </si>
  <si>
    <t>Sample_1_Part_1_233</t>
  </si>
  <si>
    <t>Sample_1_Part_1_234</t>
  </si>
  <si>
    <t>Sample_1_Part_1_235</t>
  </si>
  <si>
    <t>Sample_1_Part_1_236</t>
  </si>
  <si>
    <t>Sample_1_Part_1_237</t>
  </si>
  <si>
    <t>Sample_1_Part_1_238</t>
  </si>
  <si>
    <t>Sample_1_Part_1_239</t>
  </si>
  <si>
    <t>Sample_1_Part_1_240</t>
  </si>
  <si>
    <t>Sample_1_Part_1_241</t>
  </si>
  <si>
    <t>Sample_1_Part_1_242</t>
  </si>
  <si>
    <t>Sample_1_Part_1_243</t>
  </si>
  <si>
    <t>Sample_1_Part_1_244</t>
  </si>
  <si>
    <t>Sample_1_Part_1_245</t>
  </si>
  <si>
    <t>Sample_1_Part_1_246</t>
  </si>
  <si>
    <t>Sample_1_Part_1_247</t>
  </si>
  <si>
    <t>Sample_1_Part_1_248</t>
  </si>
  <si>
    <t>Sample_1_Part_1_249</t>
  </si>
  <si>
    <t>Sample_1_Part_1_250</t>
  </si>
  <si>
    <t>Sample_1_Part_1_251</t>
  </si>
  <si>
    <t>Sample_1_Part_1_252</t>
  </si>
  <si>
    <t>Sample_1_Part_1_253</t>
  </si>
  <si>
    <t>Sample_1_Part_1_254</t>
  </si>
  <si>
    <t>Sample_1_Part_1_255</t>
  </si>
  <si>
    <t>Sample_1_Part_1_256</t>
  </si>
  <si>
    <t>Sample_1_Part_1_257</t>
  </si>
  <si>
    <t>Sample_1_Part_1_258</t>
  </si>
  <si>
    <t>Sample_1_Part_1_259</t>
  </si>
  <si>
    <t>Sample_1_Part_1_260</t>
  </si>
  <si>
    <t>Sample_1_Part_1_261</t>
  </si>
  <si>
    <t>Sample_1_Part_1_262</t>
  </si>
  <si>
    <t>Sample_1_Part_1_263</t>
  </si>
  <si>
    <t>Sample_1_Part_1_264</t>
  </si>
  <si>
    <t>Sample_1_Part_1_265</t>
  </si>
  <si>
    <t>Sample_1_Part_1_266</t>
  </si>
  <si>
    <t>Sample_1_Part_1_267</t>
  </si>
  <si>
    <t>Sample_1_Part_1_268</t>
  </si>
  <si>
    <t>Sample_1_Part_1_269</t>
  </si>
  <si>
    <t>Sample_1_Part_1_270</t>
  </si>
  <si>
    <t>Sample_1_Part_1_271</t>
  </si>
  <si>
    <t>Sample_1_Part_1_272</t>
  </si>
  <si>
    <t>Sample_1_Part_1_273</t>
  </si>
  <si>
    <t>Sample_1_Part_1_274</t>
  </si>
  <si>
    <t>Sample_1_Part_1_275</t>
  </si>
  <si>
    <t>Sample_1_Part_1_276</t>
  </si>
  <si>
    <t>Sample_1_Part_1_277</t>
  </si>
  <si>
    <t>Sample_1_Part_1_278</t>
  </si>
  <si>
    <t>Sample_1_Part_1_279</t>
  </si>
  <si>
    <t>Sample_1_Part_1_280</t>
  </si>
  <si>
    <t>Sample_1_Part_1_281</t>
  </si>
  <si>
    <t>Sample_1_Part_1_282</t>
  </si>
  <si>
    <t>Sample_1_Part_1_283</t>
  </si>
  <si>
    <t>Sample_1_Part_1_284</t>
  </si>
  <si>
    <t>Sample_1_Part_1_285</t>
  </si>
  <si>
    <t>Sample_1_Part_1_286</t>
  </si>
  <si>
    <t>Sample_1_Part_1_287</t>
  </si>
  <si>
    <t>Sample_1_Part_1_288</t>
  </si>
  <si>
    <t>Sample_1_Part_1_289</t>
  </si>
  <si>
    <t>Sample_1_Part_1_290</t>
  </si>
  <si>
    <t>Sample_1_Part_1_291</t>
  </si>
  <si>
    <t>Sample_1_Part_1_313</t>
  </si>
  <si>
    <t>Sample_1_Part_1_314</t>
  </si>
  <si>
    <t>Sample_1_Part_1_319</t>
  </si>
  <si>
    <t>Sample_1_Part_1_320</t>
  </si>
  <si>
    <t>Sample_1_Part_1_321</t>
  </si>
  <si>
    <t>Sample_1_Part_1_322</t>
  </si>
  <si>
    <t>Sample_1_Part_1_323</t>
  </si>
  <si>
    <t>Sample_1_Part_1_324</t>
  </si>
  <si>
    <t>Sample_1_Part_1_325</t>
  </si>
  <si>
    <t>Sample_1_Part_1_326</t>
  </si>
  <si>
    <t>Sample_1_Part_1_327</t>
  </si>
  <si>
    <t>Sample_1_Part_1_328</t>
  </si>
  <si>
    <t>Sample_1_Part_1_329</t>
  </si>
  <si>
    <t>Sample_1_Part_1_330</t>
  </si>
  <si>
    <t>Sample_1_Part_1_331</t>
  </si>
  <si>
    <t>Sample_1_Part_1_332</t>
  </si>
  <si>
    <t>Sample_1_Part_1_333</t>
  </si>
  <si>
    <t>Sample_1_Part_1_334</t>
  </si>
  <si>
    <t>Sample_1_Part_1_335</t>
  </si>
  <si>
    <t>Sample_1_Part_1_336</t>
  </si>
  <si>
    <t>Sample_1_Part_1_337</t>
  </si>
  <si>
    <t>Sample_1_Part_1_338</t>
  </si>
  <si>
    <t>Sample_1_Part_1_339</t>
  </si>
  <si>
    <t>Sample_1_Part_1_340</t>
  </si>
  <si>
    <t>Sample_1_Part_1_341</t>
  </si>
  <si>
    <t>Sample_1_Part_1_342</t>
  </si>
  <si>
    <t>Sample_1_Part_1_343</t>
  </si>
  <si>
    <t>Sample_1_Part_1_344</t>
  </si>
  <si>
    <t>Sample_1_Part_1_345</t>
  </si>
  <si>
    <t>Sample_1_Part_1_346</t>
  </si>
  <si>
    <t>Sample_1_Part_1_347</t>
  </si>
  <si>
    <t>Sample_1_Part_1_348</t>
  </si>
  <si>
    <t>Sample_1_Part_1_349</t>
  </si>
  <si>
    <t>Sample_1_Part_1_350</t>
  </si>
  <si>
    <t>Sample_1_Part_1_351</t>
  </si>
  <si>
    <t>Sample_1_Part_1_352</t>
  </si>
  <si>
    <t>Sample_1_Part_1_353</t>
  </si>
  <si>
    <t>Sample_1_Part_1_354</t>
  </si>
  <si>
    <t>Sample_1_Part_1_355</t>
  </si>
  <si>
    <t>Sample_1_Part_1_356</t>
  </si>
  <si>
    <t>Sample_1_Part_1_357</t>
  </si>
  <si>
    <t>Sample_1_Part_1_358</t>
  </si>
  <si>
    <t>Sample_1_Part_1_359</t>
  </si>
  <si>
    <t>Sample_1_Part_1_360</t>
  </si>
  <si>
    <t>Sample_1_Part_1_361</t>
  </si>
  <si>
    <t>Sample_1_Part_1_362</t>
  </si>
  <si>
    <t>Sample_1_Part_1_363</t>
  </si>
  <si>
    <t>Sample_1_Part_1_364</t>
  </si>
  <si>
    <t>Sample_1_Part_1_365</t>
  </si>
  <si>
    <t>Sample_1_Part_1_366</t>
  </si>
  <si>
    <t>Sample_1_Part_1_367</t>
  </si>
  <si>
    <t>Sample_1_Part_1_368</t>
  </si>
  <si>
    <t>Sample_1_Part_1_369</t>
  </si>
  <si>
    <t>Sample_1_Part_1_370</t>
  </si>
  <si>
    <t>Sample_1_Part_1_1_001</t>
  </si>
  <si>
    <t>Sample_1_Part_1_1_002</t>
  </si>
  <si>
    <t>Sample_1_Part_1_1_003</t>
  </si>
  <si>
    <t>Sample_1_Part_1_1_004</t>
  </si>
  <si>
    <t>Sample_1_Part_1_1_005</t>
  </si>
  <si>
    <t>Sample_1_Part_1_1_006</t>
  </si>
  <si>
    <t>Sample_1_Part_1_1_007</t>
  </si>
  <si>
    <t>Sample_1_Part_1_1_008</t>
  </si>
  <si>
    <t>Sample_1_Part_1_1_009</t>
  </si>
  <si>
    <t>Sample_1_Part_1_1_010</t>
  </si>
  <si>
    <t>Sample_1_Part_1_1_011</t>
  </si>
  <si>
    <t>Sample_1_Part_1_1_012</t>
  </si>
  <si>
    <t>Sample_1_Part_1_1_013</t>
  </si>
  <si>
    <t>Sample_1_Part_1_1_014</t>
  </si>
  <si>
    <t>Sample_1_Part_1_1_015</t>
  </si>
  <si>
    <t>Sample_1_Part_1_1_016</t>
  </si>
  <si>
    <t>Sample_1_Part_1_1_017</t>
  </si>
  <si>
    <t>Sample_1_Part_1_1_018</t>
  </si>
  <si>
    <t>Sample_1_Part_1_1_019</t>
  </si>
  <si>
    <t>Sample_1_Part_1_1_020</t>
  </si>
  <si>
    <t>Sample_1_Part_1_1_021</t>
  </si>
  <si>
    <t>Sample_1_Part_1_1_022</t>
  </si>
  <si>
    <t>Sample_1_Part_1_1_023</t>
  </si>
  <si>
    <t>Sample_1_Part_1_1_024</t>
  </si>
  <si>
    <t>Sample_1_Part_1_1_025</t>
  </si>
  <si>
    <t>Sample_1_Part_1_1_026</t>
  </si>
  <si>
    <t>Sample_1_Part_1_1_027</t>
  </si>
  <si>
    <t>Sample_1_Part_1_1_028</t>
  </si>
  <si>
    <t>Sample_1_Part_1_1_029</t>
  </si>
  <si>
    <t>Sample_1_Part_1_1_030</t>
  </si>
  <si>
    <t>Sample_1_Part_1_1_031</t>
  </si>
  <si>
    <t>Sample_1_Part_1_1_032</t>
  </si>
  <si>
    <t>Sample_1_Part_1_1_033</t>
  </si>
  <si>
    <t>Sample_1_Part_1_1_034</t>
  </si>
  <si>
    <t>Sample_1_Part_1_1_035</t>
  </si>
  <si>
    <t>Sample_1_Part_1_1_036</t>
  </si>
  <si>
    <t>Sample_1_Part_1_1_037</t>
  </si>
  <si>
    <t>Sample_1_Part_1_1_038</t>
  </si>
  <si>
    <t>Sample_1_Part_1_1_039</t>
  </si>
  <si>
    <t>Sample_1_Part_1_1_040</t>
  </si>
  <si>
    <t>Sample_1_Part_1_1_041</t>
  </si>
  <si>
    <t>Sample_1_Part_1_1_042</t>
  </si>
  <si>
    <t>Sample_1_Part_1_1_043</t>
  </si>
  <si>
    <t>Sample_1_Part_1_1_044</t>
  </si>
  <si>
    <t>Sample_1_Part_1_1_045</t>
  </si>
  <si>
    <t>Sample_1_Part_1_1_046</t>
  </si>
  <si>
    <t>Sample_1_Part_1_1_047</t>
  </si>
  <si>
    <t>Sample_1_Part_1_1_048</t>
  </si>
  <si>
    <t>Sample_1_Part_1_1_049</t>
  </si>
  <si>
    <t>Sample_1_Part_1_1_050</t>
  </si>
  <si>
    <t>Sample_1_Part_1_1_051</t>
  </si>
  <si>
    <t>Sample_1_Part_1_1_052</t>
  </si>
  <si>
    <t>Sample_1_Part_1_1_053</t>
  </si>
  <si>
    <t>Sample_1_Part_1_1_054</t>
  </si>
  <si>
    <t>Sample_1_Part_1_1_055</t>
  </si>
  <si>
    <t>Sample_1_Part_1_1_056</t>
  </si>
  <si>
    <t>Sample_1_Part_1_1_057</t>
  </si>
  <si>
    <t>Sample_1_Part_1_1_058</t>
  </si>
  <si>
    <t>Sample_1_Part_1_1_059</t>
  </si>
  <si>
    <t>Sample_1_Part_1_1_060</t>
  </si>
  <si>
    <t>Sample_1_Part_1_1_061</t>
  </si>
  <si>
    <t>Sample_1_Part_1_1_062</t>
  </si>
  <si>
    <t>Sample_1_Part_1_1_063</t>
  </si>
  <si>
    <t>Sample_1_Part_1_1_064</t>
  </si>
  <si>
    <t>Sample_1_Part_1_1_065</t>
  </si>
  <si>
    <t>Sample_1_Part_1_1_066</t>
  </si>
  <si>
    <t>Sample_1_Part_1_1_067</t>
  </si>
  <si>
    <t>Sample_1_Part_1_1_068</t>
  </si>
  <si>
    <t>Sample_1_Part_1_1_069</t>
  </si>
  <si>
    <t>Sample_1_Part_1_1_070</t>
  </si>
  <si>
    <t>Sample_1_Part_1_1_071</t>
  </si>
  <si>
    <t>Sample_1_Part_1_1_072</t>
  </si>
  <si>
    <t>Sample_1_Part_1_1_073</t>
  </si>
  <si>
    <t>Sample_1_Part_1_1_074</t>
  </si>
  <si>
    <t>Sample_1_Part_1_1_075</t>
  </si>
  <si>
    <t>Sample_1_Part_1_1_076</t>
  </si>
  <si>
    <t>Sample_1_Part_1_1_077</t>
  </si>
  <si>
    <t>Sample_1_Part_1_1_078</t>
  </si>
  <si>
    <t>Sample_1_Part_1_1_079</t>
  </si>
  <si>
    <t>Sample_1_Part_1_1_080</t>
  </si>
  <si>
    <t>Sample_1_Part_1_1_081</t>
  </si>
  <si>
    <t>Sample_1_Part_1_1_082</t>
  </si>
  <si>
    <t>Sample_1_Part_1_1_083</t>
  </si>
  <si>
    <t>Sample_1_Part_1_1_084</t>
  </si>
  <si>
    <t>Sample_1_Part_1_1_085</t>
  </si>
  <si>
    <t>Sample_1_Part_1_1_086</t>
  </si>
  <si>
    <t>Sample_1_Part_1_1_087</t>
  </si>
  <si>
    <t>Sample_1_Part_1_1_088</t>
  </si>
  <si>
    <t>Sample_1_Part_1_1_089</t>
  </si>
  <si>
    <t>Sample_1_Part_1_1_090</t>
  </si>
  <si>
    <t>Sample_1_Part_1_1_091</t>
  </si>
  <si>
    <t>Sample_1_Part_1_1_092</t>
  </si>
  <si>
    <t>Sample_1_Part_1_1_093</t>
  </si>
  <si>
    <t>Sample_1_Part_1_1_094</t>
  </si>
  <si>
    <t>Sample_1_Part_1_1_095</t>
  </si>
  <si>
    <t>Sample_1_Part_1_1_096</t>
  </si>
  <si>
    <t>Sample_1_Part_1_1_097</t>
  </si>
  <si>
    <t>Sample_1_Part_1_1_098</t>
  </si>
  <si>
    <t>Sample_1_Part_1_1_099</t>
  </si>
  <si>
    <t>Sample_1_Part_1_1_100</t>
  </si>
  <si>
    <t>Sample_1_Part_1_1_101</t>
  </si>
  <si>
    <t>Sample_1_Part_1_1_102</t>
  </si>
  <si>
    <t>Sample_1_Part_1_1_103</t>
  </si>
  <si>
    <t>Sample_1_Part_1_1_104</t>
  </si>
  <si>
    <t>Sample_1_Part_1_1_105</t>
  </si>
  <si>
    <t>Sample_1_Part_1_1_106</t>
  </si>
  <si>
    <t>Sample_1_Part_1_1_107</t>
  </si>
  <si>
    <t>Sample_1_Part_1_1_108</t>
  </si>
  <si>
    <t>Sample_1_Part_1_1_109</t>
  </si>
  <si>
    <t>Sample_1_Part_1_1_110</t>
  </si>
  <si>
    <t>Sample_1_Part_1_1_111</t>
  </si>
  <si>
    <t>Sample_1_Part_1_1_112</t>
  </si>
  <si>
    <t>Sample_1_Part_1_1_113</t>
  </si>
  <si>
    <t>Sample_1_Part_1_1_114</t>
  </si>
  <si>
    <t>Sample_1_Part_1_1_115</t>
  </si>
  <si>
    <t>Sample_1_Part_1_1_116</t>
  </si>
  <si>
    <t>Sample_1_Part_1_1_117</t>
  </si>
  <si>
    <t>Sample_1_Part_1_1_118</t>
  </si>
  <si>
    <t>Sample_1_Part_1_1_119</t>
  </si>
  <si>
    <t>Sample_1_Part_1_1_121</t>
  </si>
  <si>
    <t>Sample_1_Part_1_1_123</t>
  </si>
  <si>
    <t>Sample_1_Part_1_1_124</t>
  </si>
  <si>
    <t>Sample_1_Part_1_1_125</t>
  </si>
  <si>
    <t>Sample_1_Part_1_1_126</t>
  </si>
  <si>
    <t>Sample_1_Part_1_1_127</t>
  </si>
  <si>
    <t>Sample_1_Part_1_1_128</t>
  </si>
  <si>
    <t>Sample_1_Part_1_1_129</t>
  </si>
  <si>
    <t>Sample_1_Part_1_1_130</t>
  </si>
  <si>
    <t>Sample_1_Part_1_1_131</t>
  </si>
  <si>
    <t>Sample_1_Part_1_1_132</t>
  </si>
  <si>
    <t>Sample_1_Part_1_1_133</t>
  </si>
  <si>
    <t>Sample_1_Part_1_1_134</t>
  </si>
  <si>
    <t>Sample_1_Part_1_1_135</t>
  </si>
  <si>
    <t>Sample_1_Part_1_1_136</t>
  </si>
  <si>
    <t>Sample_1_Part_1_1_137</t>
  </si>
  <si>
    <t>Sample_1_Part_1_1_138</t>
  </si>
  <si>
    <t>Sample_1_Part_1_1_139</t>
  </si>
  <si>
    <t>Sample_1_Part_1_1_140</t>
  </si>
  <si>
    <t>Sample_1_Part_1_1_141</t>
  </si>
  <si>
    <t>Sample_1_Part_1_1_142</t>
  </si>
  <si>
    <t>Sample_1_Part_1_1_143</t>
  </si>
  <si>
    <t>Sample_1_Part_1_1_145</t>
  </si>
  <si>
    <t>Sample_1_Part_1_1_147</t>
  </si>
  <si>
    <t>Sample_1_Part_1_1_148</t>
  </si>
  <si>
    <t>Sample_1_Part_1_1_149</t>
  </si>
  <si>
    <t>Sample_1_Part_1_1_150</t>
  </si>
  <si>
    <t>Sample_1_Part_1_1_151</t>
  </si>
  <si>
    <t>Sample_1_Part_1_1_152</t>
  </si>
  <si>
    <t>Sample_1_Part_1_1_153</t>
  </si>
  <si>
    <t>Sample_1_Part_1_1_154</t>
  </si>
  <si>
    <t>Sample_1_Part_1_1_155</t>
  </si>
  <si>
    <t>Sample_1_Part_1_1_156</t>
  </si>
  <si>
    <t>Sample_1_Part_1_1_157</t>
  </si>
  <si>
    <t>Sample_1_Part_1_1_158</t>
  </si>
  <si>
    <t>Sample_1_Part_1_1_159</t>
  </si>
  <si>
    <t>Sample_1_Part_1_1_160</t>
  </si>
  <si>
    <t>Sample_1_Part_1_1_161</t>
  </si>
  <si>
    <t>Sample_1_Part_1_1_162</t>
  </si>
  <si>
    <t>Sample_1_Part_1_1_163</t>
  </si>
  <si>
    <t>Sample_1_Part_1_1_164</t>
  </si>
  <si>
    <t>Sample_1_Part_1_1_165</t>
  </si>
  <si>
    <t>Sample_1_Part_1_1_166</t>
  </si>
  <si>
    <t>Sample_1_Part_1_1_167</t>
  </si>
  <si>
    <t>Sample_1_Part_1_1_169</t>
  </si>
  <si>
    <t>Sample_1_Part_1_1_170</t>
  </si>
  <si>
    <t>Sample_1_Part_1_1_171</t>
  </si>
  <si>
    <t>Sample_1_Part_1_1_172</t>
  </si>
  <si>
    <t>Sample_1_Part_1_1_173</t>
  </si>
  <si>
    <t>Sample_1_Part_1_1_174</t>
  </si>
  <si>
    <t>Sample_1_Part_1_1_175</t>
  </si>
  <si>
    <t>Sample_1_Part_1_1_176</t>
  </si>
  <si>
    <t>Sample_1_Part_1_1_177</t>
  </si>
  <si>
    <t>Sample_1_Part_1_371</t>
  </si>
  <si>
    <t>Sample_1_Part_1_372</t>
  </si>
  <si>
    <t>Sample_1_Part_1_373</t>
  </si>
  <si>
    <t>Sample_1_Part_1_374</t>
  </si>
  <si>
    <t>LRU to enter Harmonizing Mode.</t>
  </si>
  <si>
    <t>LRU to not enter Harmonizing Mode.</t>
  </si>
  <si>
    <t>TEST OUTLINE:
1) Set LRU configuration as per Initial conditions.
2) Initialize Outputs to a different value.
3) Set LRU to Harmonizing Mode.
4) Verify Outputs changed as per Expected results.
5) Clear Harmonizing Inputs.</t>
  </si>
  <si>
    <t>LRU to be configured as Aileron Left.
FLIGHT_MODE
LRU to not be in Harmonizing Mode</t>
  </si>
  <si>
    <t>Harmonizing flag initializations are not done and default values are not applied to Harmonizing Parameters</t>
  </si>
  <si>
    <t>LRU to be configured as Aileron Left.
FLIGHT_MODE
LRU to be in Harmonizing Mode</t>
  </si>
  <si>
    <t xml:space="preserve">Harmonizing flag initializations and default values are applied to Harmonizing Parameters.
</t>
  </si>
  <si>
    <t>LRU to be configured as LRU_1.
FLIGHT_MODE
LRU to be in Harmonizing Mode.</t>
  </si>
  <si>
    <t>Harmonizing flag initializations and default values are applied to Harmonizing Parameters.</t>
  </si>
  <si>
    <t>LRU to be configured as LRU_2.
FLIGHT_MODE
LRU to be in Harmonizing Mode.</t>
  </si>
  <si>
    <t>LRU to be configured as Elevator Left.
FLIGHT_MODE
LRU to not be in Harmonizing Mode</t>
  </si>
  <si>
    <t>LRU to be configured as Elevator Left.
FLIGHT_MODE
LRU to be in Harmonizing Mode</t>
  </si>
  <si>
    <t>LRU to be configured as LRU_5.
FLIGHT_MODE
LRU to be in Harmonizing Mode.</t>
  </si>
  <si>
    <t>LRU to be configured as LRU_6.
FLIGHT_MODE
LRU to be in Harmonizing Mode.</t>
  </si>
  <si>
    <t>LRU to be configured as Rudder.
FLIGHT_MODE
LRU to not be in Harmonizing Mode</t>
  </si>
  <si>
    <t>LRU to be configured as Rudder.
FLIGHT_MODE
LRU to be in Harmonizing Mode</t>
  </si>
  <si>
    <t>LRU to be configured as LRU_7.
FLIGHT_MODE
LRU to be in Harmonizing Mode.</t>
  </si>
  <si>
    <t>LRU to be configured as Spoiler Left.
FLIGHT_MODE
LRU to not be in Harmonizing Mode</t>
  </si>
  <si>
    <t>LRU to be configured as Spoiler Left.
FLIGHT_MODE
LRU to be in Harmonizing Mode</t>
  </si>
  <si>
    <t>LRU to be configured as LRU_3.
FLIGHT_MODE
LRU to be in Harmonizing Mode.</t>
  </si>
  <si>
    <t>LRU to be configured as LRU_4.
FLIGHT_MODE
LRU to be in Harmonizing Mode.</t>
  </si>
  <si>
    <t>TEST OUTLINE:
1) Set LRU configuration as per Initial conditions.
2) Initialize Outputs to a different value.
3) Set LRU to Harmonizing Mode.
4) Verify Outputs is not changed 
5) Clear Harmonizing Inputs.</t>
  </si>
  <si>
    <t>Primary_Harmonize_Calc = True</t>
  </si>
  <si>
    <t>Primary_Harmonize_Calc = False</t>
  </si>
  <si>
    <t>Spoiler_Harmonize_Calc = False</t>
  </si>
  <si>
    <t>LRU to be configured as Aileron Harmonizeht.
FLIGHT_MODE
LRU to not be in Harmonizing Mode</t>
  </si>
  <si>
    <t>LRU to be configured as Aileron Harmonizeht.
FLIGHT_MODE
LRU to be in Harmonizing Mode</t>
  </si>
  <si>
    <t>LRU to be configured as Elevator Harmonizeht.
FLIGHT_MODE
LRU to not be in Harmonizing Mode</t>
  </si>
  <si>
    <t>LRU to be configured as Elevator Harmonizeht.
FLIGHT_MODE
LRU to be in Harmonizing Mode</t>
  </si>
  <si>
    <t>Spoiler_Harmonize_Calc = True</t>
  </si>
  <si>
    <t>LRU to be configured as Spoiler Harmonizeht.
FLIGHT_MODE
LRU to not be in Harmonizing Mode</t>
  </si>
  <si>
    <t>LRU to be configured as Spoiler Harmonizeht.
FLIGHT_MODE
LRU to be in Harmonizing Mode</t>
  </si>
  <si>
    <t>LRU to be configured as LRU_7 .
FLIGHT_MODE
LRU to be in Harmonizing Mode.
Primary_Harmonize_Calc = True</t>
  </si>
  <si>
    <t>LRU to be configured as LRU_3 .
FLIGHT_MODE
LRU to be in Harmonizing Mode.
Spoiler_Harmonize_Calc = True</t>
  </si>
  <si>
    <t>LRU to be configured as LRU_4 .
FLIGHT_MODE
LRU to be in Harmonizing Mode.
Spoiler_Harmonize_Calc = True</t>
  </si>
  <si>
    <t>Harmonizing_PSR_Data_Fault = False</t>
  </si>
  <si>
    <t>Harmonizing_PSR_Data_Fault = True</t>
  </si>
  <si>
    <t>Lower_Limit_LRU_PSR_New = -2.291
Upper_Limit_LRU_PSR_New = 2.317</t>
  </si>
  <si>
    <t>Lower_Limit_LRU_PSR_New = -2.291</t>
  </si>
  <si>
    <t>Upper_Limit_LRU_PSR_New = 2.317</t>
  </si>
  <si>
    <t>Lower_Limit_LRU_PSR_New = 0.0430
Upper_Limit_LRU_PSR_New = = 2.542</t>
  </si>
  <si>
    <t>Lower_Limit_LRU_PSR_New = 0.0440
Upper_Limit_LRU_PSR_New = = 2.72</t>
  </si>
  <si>
    <t>Lower_Limit_LRU_PSR_New = 0.0430</t>
  </si>
  <si>
    <t>Upper_Limit_LRU_PSR_New = = 2.72</t>
  </si>
  <si>
    <t>LRU to be configured as LRU_1.
LRU Asset ID = 0x4203
FLIGHT_MODE
LRU to be in Harmonizing Mode.</t>
  </si>
  <si>
    <t>LRU to be configured as LRU_2.
LRU Asset ID = 0x4203
FLIGHT_MODE
LRU to be in Harmonizing Mode.</t>
  </si>
  <si>
    <t>LRU to be configured as LRU_5.
LRU Asset ID = 0x4203
FLIGHT_MODE
LRU to be in Harmonizing Mode.</t>
  </si>
  <si>
    <t>LRU to be configured as LRU_6.
LRU Asset ID = 0x4203
FLIGHT_MODE
LRU to be in Harmonizing Mode.</t>
  </si>
  <si>
    <t>LRU to be configured as LRU_7.
LRU Asset ID = 0x4203
FLIGHT_MODE
LRU to be in Harmonizing Mode.</t>
  </si>
  <si>
    <t>LRU to be configured as LRU_3.
LRU Asset ID = 0x4203
FLIGHT_MODE
LRU to be in Harmonizing Mode.</t>
  </si>
  <si>
    <t>LRU to be configured as LRU_4.
LRU Asset ID = 0x4203
FLIGHT_MODE
LRU to be in Harmonizing Mode.</t>
  </si>
  <si>
    <t xml:space="preserve">10 Consecutive frames timer value is been checked using Sample_1.tcl
Value in Address for m_eIVT_Mode ( = 0xE0383) is in USER_UINT_1 on Test Peek 19 Index.
Value of m_eIVT_Mode / USER_UINT_1 != 5 ; LRU is not in Harmonizing Mode 
Value of m_eIVT_Mode / USER_UINT_1 = 5  ; LRU is in Harmonizing Mode     </t>
  </si>
  <si>
    <t xml:space="preserve">Value in Address for m_eIVT_Mode ( = 0xE0383) is in USER_UINT_1 on Test Peek 19 Index.
Value of m_eIVT_Mode / USER_UINT_1 != 5 ; LRU is not in Harmonizing Mode 
Value of m_eIVT_Mode / USER_UINT_1 = 5  ; LRU is in Harmonizing Mode     </t>
  </si>
  <si>
    <t>STEP 33:
Verifies that in Harmonizing Mode the LRU Software set LRU_Harmonizing_Needed_PIVT = False and Corrupt_PSR_Harmonizing_SIVT_Fault_Init = False when Harmonizing_PSR_Data_Fault = False for LRU_1.</t>
  </si>
  <si>
    <t>LRU_Harmonizing_Needed_PIVT = False
Corrupt_PSR_Harmonizing_SIVT_Fault_Init = False</t>
  </si>
  <si>
    <t>STEP 33:
Verifies that in Harmonizing Mode the LRU Software set LRU_Harmonizing_Needed_PIVT = True and Corrupt_PSR_Harmonizing_SIVT_Fault_Init = True when Harmonizing_PSR_Data_Fault = True for LRU_1.</t>
  </si>
  <si>
    <t>LRU_Harmonizing_Needed_PIVT = True
Corrupt_PSR_Harmonizing_SIVT_Fault_Init = True</t>
  </si>
  <si>
    <t>TEST OUTLINE:
1) Set LRU Configuration as per Initial Conditions.
2) Initiate and Complete Electronic Harmonizing for Aileron using TCS script, Sample_1_Aileron.tcs.
3) Set m_bCorrupt_PSR_Harmonizing_SIVT_Fault_Init to fail CRC calculation and set Harmonizing_PSR_Data_Fault = True.
4) Verify LRU_Harmonizing_Needed_PIVT as per expected results.</t>
  </si>
  <si>
    <t>1) Harmonizing_PSR_Data_Fault = False
2) K_Harmonize_ISM = 0xF7FC, Harmonize_Offset_ISM = 0xFEB9, Lower_Limit_LRU = 0xFEB9, Upper_Limit_LRU = 0xFEB9
3) IVT_Command_ISM = 0x0012
4) IVT_CmdData_ISM = 0x0001</t>
  </si>
  <si>
    <t>Post Processing Verification Details.
1) Find Time when Inputs were set.
2) Findtime IVT_Response as per Expected results.
3) Findvalue at the time of IVT_Response the value of IVT_Respdata.
4) Verify these values to match Expected results.</t>
  </si>
  <si>
    <t>1) Harmonizing_PSR_Data_Fault = True
2) K_Harmonize_ISM = 0xF7FC, Harmonize_Offset_ISM = 0xFEB9, Lower_Limit_LRU = 0xFEB9, Upper_Limit_LRU = 0xFEB9
3) IVT_Command_ISM = 0x0012
4) IVT_CmdData_ISM = 0x0001</t>
  </si>
  <si>
    <t>1) Harmonizing_PSR_Data_Fault = False
2) K_Harmonize_ISM = 0xF7FC, Harmonize_Offset_ISM = 0xFEB9, Lower_Limit_LRU = 0xFEB9, Upper_Limit_LRU = 0xFEB9
3) IVT_Command_ISM = 0x0011
4) IVT_CmdData_ISM = 0x0001</t>
  </si>
  <si>
    <t>1) Harmonizing_PSR_Data_Fault = False
2) K_Harmonize_ISM = 0xF7FC, Harmonize_Offset_ISM = 0xFEB9, Lower_Limit_LRU = 0xFEB9, Upper_Limit_LRU = 0xFEB9
3) IVT_Command_ISM = 0x0012
4) IVT_CmdData_ISM = 0x0000</t>
  </si>
  <si>
    <t>1) Harmonizing_PSR_Data_Fault = False
2) K_Harmonize_ISM = 0xF7FC, Harmonize_Offset_ISM = 0xFEB9, Lower_Limit_LRU = 0xFEB9, Upper_Limit_LRU = 0xFEB9
3) IVT_Command_ISM = 0x0013
4) IVT_CmdData_ISM = 0x0001</t>
  </si>
  <si>
    <t>1) Harmonizing_PSR_Data_Fault = False
2) K_Harmonize_ISM = 0xF7FC, Harmonize_Offset_ISM = 0xFEB9, Lower_Limit_LRU = 0xFEB9, Upper_Limit_LRU = 0xFEB9
3) IVT_Command_ISM = 0x0012
4) IVT_CmdData_ISM = 0x0002</t>
  </si>
  <si>
    <t>STEP 33:
Verifies that in Harmonizing Mode the LRU Software set LRU_Harmonizing_Needed_PIVT = False and Corrupt_PSR_Harmonizing_SIVT_Fault_Init = False when Harmonizing_PSR_Data_Fault = False for LRU_2.</t>
  </si>
  <si>
    <t>STEP 33:
Verifies that in Harmonizing Mode the LRU Software set LRU_Harmonizing_Needed_PIVT = True and Corrupt_PSR_Harmonizing_SIVT_Fault_Init = True when Harmonizing_PSR_Data_Fault = True for LRU_2.</t>
  </si>
  <si>
    <t>1) Harmonizing_PSR_Data_Fault = False
2) K_Harmonize_ISM, Harmonize_Offset_ISM, Lower_Limit_LRU and Upper_Limit_LRU are not updated.
3) IVT_Command_ISM = 0x0011
4) IVT_CmdData_ISM = 0x0001</t>
  </si>
  <si>
    <t>1) Harmonizing_PSR_Data_Fault = False
2) K_Harmonize_ISM, Harmonize_Offset_ISM, Lower_Limit_LRU and Upper_Limit_LRU are not updated.
3) IVT_Command_ISM = 0x0012
4) IVT_CmdData_ISM = 0x0000</t>
  </si>
  <si>
    <t>1) Harmonizing_PSR_Data_Fault = False
2) K_Harmonize_ISM, Harmonize_Offset_ISM, Lower_Limit_LRU and Upper_Limit_LRU are not updated.
3) IVT_Command_ISM = 0x0013
4) IVT_CmdData_ISM = 0x0001</t>
  </si>
  <si>
    <t>1) Harmonizing_PSR_Data_Fault = False
2) K_Harmonize_ISM, Harmonize_Offset_ISM, Lower_Limit_LRU and Upper_Limit_LRU are not updated.
3) IVT_Command_ISM = 0x0012
4) IVT_CmdData_ISM = 0x0002</t>
  </si>
  <si>
    <t>STEP 33:
Verifies that in Harmonizing Mode the LRU Software set LRU_Harmonizing_Needed_PIVT = False and Corrupt_PSR_Harmonizing_SIVT_Fault_Init = False when Harmonizing_PSR_Data_Fault = False for LRU_5.</t>
  </si>
  <si>
    <t>STEP 33:
Verifies that in Harmonizing Mode the LRU Software set LRU_Harmonizing_Needed_PIVT = True and Corrupt_PSR_Harmonizing_SIVT_Fault_Init = True when Harmonizing_PSR_Data_Fault = True for LRU_5.</t>
  </si>
  <si>
    <t>TEST OUTLINE:
1) Set LRU Configuration as per Initial Conditions.
2) Initiate and Complete Electronic Harmonizing for Elevator using TCS script, Sample_1_Elevator.tcs.
3) Set m_bCorrupt_PSR_Harmonizing_SIVT_Fault_Init to fail CRC calculation and set Harmonizing_PSR_Data_Fault = True.
4) Verify LRU_Harmonizing_Needed_PIVT as per expected results.</t>
  </si>
  <si>
    <t>STEP 33:
Verifies that in Harmonizing Mode the LRU Software set LRU_Harmonizing_Needed_PIVT = False and Corrupt_PSR_Harmonizing_SIVT_Fault_Init = False when Harmonizing_PSR_Data_Fault = False for LRU_6.</t>
  </si>
  <si>
    <t>STEP 33:
Verifies that in Harmonizing Mode the LRU Software set LRU_Harmonizing_Needed_PIVT = True and Corrupt_PSR_Harmonizing_SIVT_Fault_Init = True when Harmonizing_PSR_Data_Fault = True for LRU_6.</t>
  </si>
  <si>
    <t>STEP 33:
Verifies that in Harmonizing Mode the LRU Software set LRU_Harmonizing_Needed_PIVT = False and Corrupt_PSR_Harmonizing_SIVT_Fault_Init = False when Harmonizing_PSR_Data_Fault = False for LRU_7.</t>
  </si>
  <si>
    <t>STEP 33:
Verifies that in Harmonizing Mode the LRU Software set LRU_Harmonizing_Needed_PIVT = True and Corrupt_PSR_Harmonizing_SIVT_Fault_Init = True when Harmonizing_PSR_Data_Fault = True for LRU_7.</t>
  </si>
  <si>
    <t>TEST OUTLINE:
1) Set LRU Configuration as per Initial Conditions.
2) Initiate and Complete Electronic Harmonizing for Rudder using TCS script, Sample_1_Rudder.tcs.
3) Set m_bCorrupt_PSR_Harmonizing_SIVT_Fault_Init to fail CRC calculation and set Harmonizing_PSR_Data_Fault = True.
4) Verify LRU_Harmonizing_Needed_PIVT as per expected results.</t>
  </si>
  <si>
    <t>STEP 33:
Verifies that in Harmonizing Mode the LRU Software set LRU_Harmonizing_Needed_PIVT = False and Corrupt_PSR_Harmonizing_SIVT_Fault_Init = False when Harmonizing_PSR_Data_Fault = False for LRU_3.</t>
  </si>
  <si>
    <t>STEP 33:
Verifies that in Harmonizing Mode the LRU Software set LRU_Harmonizing_Needed_PIVT = True and Corrupt_PSR_Harmonizing_SIVT_Fault_Init = True when Harmonizing_PSR_Data_Fault = True for LRU_3.</t>
  </si>
  <si>
    <t>TEST OUTLINE:
1) Set LRU Configuration as per Initial Conditions.
2) Initiate and Complete Electronic Harmonizing for Spoiler using TCS script, Sample_1_Spoiler.tcs.
3) Set m_bCorrupt_PSR_Harmonizing_SIVT_Fault_Init to fail CRC calculation and set Harmonizing_PSR_Data_Fault = True.
4) Verify LRU_Harmonizing_Needed_PIVT as per expected results.</t>
  </si>
  <si>
    <t>STEP 33:
Verifies that in Harmonizing Mode the LRU Software set LRU_Harmonizing_Needed_PIVT = False and Corrupt_PSR_Harmonizing_SIVT_Fault_Init = False when Harmonizing_PSR_Data_Fault = False for LRU_4.</t>
  </si>
  <si>
    <t>STEP 33:
Verifies that in Harmonizing Mode the LRU Software set LRU_Harmonizing_Needed_PIVT = True and Corrupt_PSR_Harmonizing_SIVT_Fault_Init = True when Harmonizing_PSR_Data_Fault = True for LRU_4.</t>
  </si>
  <si>
    <t>IVT_Receipt_Envelope = 0x0000
IVT_Receipt_Content = 0x0000</t>
  </si>
  <si>
    <t>IVT_Receipt_Envelope = 0x0011
IVT_Receipt_Content = 0x0001</t>
  </si>
  <si>
    <t>IVT_Receipt_Envelope = 0x0017
IVT_Receipt_Content: Harmonizing_Failed (IVT 4) = False</t>
  </si>
  <si>
    <t>IVT_Receipt_Envelope = 0x0017
IVT_Receipt_Content: Harmonizing_Failed (IVT 4) = True</t>
  </si>
  <si>
    <t>IVT_Receipt_Envelope = 0x0011
IVT_Receipt_Content = 0x0000
IVT_Receipt_Envelope = 0x0012
IVT_Receipt_Content = 0x0011
IVT_Receipt_Envelope = 0x0013
IVT_Receipt_Content = 0x4203
IVT_Receipt_Envelope = 0x0014
IVT_Receipt_Content = 0xF7FC
IVT_Receipt_Envelope = 0x0015
IVT_Receipt_Content = 0xFEB9
IVT_Receipt_Envelope = 0x0017
IVT_Receipt_Content = 0x0004
IVT_Receipt_Envelope = 0x0018
IVT_Receipt_Content = 0xFEB9
IVT_Receipt_Envelope = 0x0019
IVT_Receipt_Content = 0xFEB9</t>
  </si>
  <si>
    <t>IVT_Receipt_Envelope = 0x0011
IVT_Receipt_Content = 0x0000
IVT_Receipt_Envelope = 0x0012
IVT_Receipt_Content = 0x0012
IVT_Receipt_Envelope = 0x0013
IVT_Receipt_Content = 0x4203
IVT_Receipt_Envelope = 0x0014
IVT_Receipt_Content = 0xF7FC
IVT_Receipt_Envelope = 0x0015
IVT_Receipt_Content = 0xFEB9
IVT_Receipt_Envelope = 0x0017
IVT_Receipt_Content = 0x0004
IVT_Receipt_Envelope = 0x0018
IVT_Receipt_Content = 0xFEB9
IVT_Receipt_Envelope = 0x0019
IVT_Receipt_Content = 0xFEB9</t>
  </si>
  <si>
    <t>IVT_Receipt_Envelope = 0x0011
IVT_Receipt_Content = 0x0000
IVT_Receipt_Envelope = 0x0012
IVT_Receipt_Content = 0x0015
IVT_Receipt_Envelope = 0x0013
IVT_Receipt_Content = 0x4203
IVT_Receipt_Envelope = 0x0014
IVT_Receipt_Content = 0xF7FC
IVT_Receipt_Envelope = 0x0015
IVT_Receipt_Content = 0xFEB9
IVT_Receipt_Envelope = 0x0017
IVT_Receipt_Content = 0x0004
IVT_Receipt_Envelope = 0x0018
IVT_Receipt_Content = 0xFEB9
IVT_Receipt_Envelope = 0x0019
IVT_Receipt_Content = 0xFEB9</t>
  </si>
  <si>
    <t>IVT_Receipt_Envelope = 0x0011
IVT_Receipt_Content = 0x0000
IVT_Receipt_Envelope = 0x0012
IVT_Receipt_Content = 0x0016
IVT_Receipt_Envelope = 0x0013
IVT_Receipt_Content = 0x4203
IVT_Receipt_Envelope = 0x0014
IVT_Receipt_Content = 0xF7FC
IVT_Receipt_Envelope = 0x0015
IVT_Receipt_Content = 0xFEB9
IVT_Receipt_Envelope = 0x0017
IVT_Receipt_Content = 0x0004
IVT_Receipt_Envelope = 0x0018
IVT_Receipt_Content = 0xFEB9
IVT_Receipt_Envelope = 0x0019
IVT_Receipt_Content = 0xFEB9</t>
  </si>
  <si>
    <t>IVT_Receipt_Envelope = 0x0011
IVT_Receipt_Content = 0x0000
IVT_Receipt_Envelope = 0x0012
IVT_Receipt_Content = 0x0017
IVT_Receipt_Envelope = 0x0013
IVT_Receipt_Content = 0x4203
IVT_Receipt_Envelope = 0x0014
IVT_Receipt_Content = 0xF7FC
IVT_Receipt_Envelope = 0x0015
IVT_Receipt_Content = 0xFEB9
IVT_Receipt_Envelope = 0x0017
IVT_Receipt_Content = 0x0004
IVT_Receipt_Envelope = 0x0018
IVT_Receipt_Content = 0xFEB9
IVT_Receipt_Envelope = 0x0019
IVT_Receipt_Content = 0xFEB9</t>
  </si>
  <si>
    <t>IVT_Receipt_Envelope = 0x0011
IVT_Receipt_Content = 0x0000
IVT_Receipt_Envelope = 0x0012
IVT_Receipt_Content = 0x0013
IVT_Receipt_Envelope = 0x0013
IVT_Receipt_Content = 0x4203
IVT_Receipt_Envelope = 0x0014
IVT_Receipt_Content = 0xF7FC
IVT_Receipt_Envelope = 0x0015
IVT_Receipt_Content = 0xFEB9
IVT_Receipt_Envelope = 0x0017
IVT_Receipt_Content = 0x0004
IVT_Receipt_Envelope = 0x0018
IVT_Receipt_Content = 0xFEB9
IVT_Receipt_Envelope = 0x0019
IVT_Receipt_Content = 0xFEB9</t>
  </si>
  <si>
    <t>IVT_Receipt_Envelope = 0x0011
IVT_Receipt_Content = 0x0000
IVT_Receipt_Envelope = 0x0012
IVT_Receipt_Content = 0x0014
IVT_Receipt_Envelope = 0x0013
IVT_Receipt_Content = 0x4203
IVT_Receipt_Envelope = 0x0014
IVT_Receipt_Content = 0xF7FC
IVT_Receipt_Envelope = 0x0015
IVT_Receipt_Content = 0xFEB9
IVT_Receipt_Envelope = 0x0017
IVT_Receipt_Content = 0x0004
IVT_Receipt_Envelope = 0x0018
IVT_Receipt_Content = 0xFEB9
IVT_Receipt_Envelope = 0x0019
IVT_Receipt_Content = 0xFEB9</t>
  </si>
  <si>
    <t>FLIGHT_MODE
IVT_Receipt_Envelope = 1
IVT_Receipt_Content = 1</t>
  </si>
  <si>
    <t>IVT_Receipt_Envelope = 0
IVT_Receipt_Content = 0</t>
  </si>
  <si>
    <t xml:space="preserve">Verifies the LRU software enter Harmonizing mode when
Harmonizing_Active_STL = True  and remains True for 10 consecutive STL frames
while IVT_Mode_ModeLgc  is True.
</t>
  </si>
  <si>
    <t>IVT_Mode_ModeLgc = True 
Harmonizing_Active_STL = True and  remains True for 10 consecutive STL frames.</t>
  </si>
  <si>
    <t xml:space="preserve">Verifies the LRU software to not enter Harmonizing mode when
Harmonizing_Active_STL = True  and remains True for 10 consecutive STL frames
while IVT_Mode_ModeLgc  is False.
</t>
  </si>
  <si>
    <t>IVT_Mode_ModeLgc = False
Harmonizing_Active_STL = True and remains True for 10 consecutive STL frames.</t>
  </si>
  <si>
    <t xml:space="preserve">Verifies the LRU software to not enter Harmonizing mode when
Harmonizing_Active_STL = False and remains in that state for 10 consecutive STL frames
while IVT_Mode_ModeLgc  is  True
</t>
  </si>
  <si>
    <t>IVT_Mode_ModeLgc = True
Harmonizing_Active_STL = False and remains in that state for 10 consecutive STL frames.</t>
  </si>
  <si>
    <t>IVT_Mode_ModeLgc is True AND Harmonizing_Active_STL transitions to True</t>
  </si>
  <si>
    <t xml:space="preserve">Verifies the LRU software doesn't transmit Harmonizing Needed on STL_Bus using IVT_Receipt_Envelope and IVT_Receipt_Content as below if 
Harmonizing flag initializations are not done and default values are not applied to Harmonizing Parameters (Condition = False)
for Aileron Left,
IVT_Receipt_Envelope = 0x0000
IVT_Receipt_Content = 0x0000
</t>
  </si>
  <si>
    <t xml:space="preserve">Verifies the LRU software transmit Harmonizing Needed on STL_Bus using IVT_Receipt_Envelope and IVT_Receipt_Content as below if 
Harmonizing flag initializations and default values are applied to Harmonizing Parameters (Condition = True)
for Aileron Left,
IVT_Receipt_Envelope = 0x0011
IVT_Receipt_Content = 0x0001
</t>
  </si>
  <si>
    <t>STEP 32:
Verifies that in Harmonizing Mode the LRU Software transmit the below on STL_Bus when Harmonizing_PSR_Data_Fault = False,
IVT_Receipt_Envelope = 0x0017
IVT_Receipt_Content: Harmonizing_Failed (IVT 4) = False
for LRU_1.</t>
  </si>
  <si>
    <t>STEP 32:
Verifies that in Harmonizing Mode the LRU Software transmit the below on STL_Bus when Harmonizing_PSR_Data_Fault = True,
IVT_Receipt_Envelope = 0x0017
IVT_Receipt_Content: Harmonizing_Failed (IVT 4) = True
for LRU_1.</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</si>
  <si>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0x0011
(IVT 0-2 of IVT_Receipt_Content:  LRU Location = 0x1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LRU_1.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</si>
  <si>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LRU_1.
(MCDC Achieved: F, T, T, T -&gt; F)</t>
  </si>
  <si>
    <t>IVT_Receipt_Envelope and IVT_Receipt_Content on the STL Bus are not changed.</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</si>
  <si>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LRU_1.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</si>
  <si>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LRU_1.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</si>
  <si>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LRU_1.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</si>
  <si>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LRU_1.</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</si>
  <si>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LRU_1.</t>
  </si>
  <si>
    <t xml:space="preserve">Verifies the LRU software doesn't transmit Harmonizing Needed on STL_Bus using IVT_Receipt_Envelope and IVT_Receipt_Content as below if 
Harmonizing flag initializations are not done and default values are not applied to Harmonizing Parameters (Condition = False)
for Aileron Harmonizeht,
IVT_Receipt_Envelope = 0x0000
IVT_Receipt_Content = 0x0000
</t>
  </si>
  <si>
    <t xml:space="preserve">Verifies the LRU software transmit Harmonizing Needed on STL_Bus using IVT_Receipt_Envelope and IVT_Receipt_Content as below if 
Harmonizing flag initializations and default values are applied to Harmonizing Parameters (Condition = True)
for Aileron Harmonizeht,
IVT_Receipt_Envelope = 0x0011
IVT_Receipt_Content = 0x0001
</t>
  </si>
  <si>
    <t>STEP 32:
Verifies that in Harmonizing Mode the LRU Software transmit the below on STL_Bus when Harmonizing_PSR_Data_Fault = False,
IVT_Receipt_Envelope = 0x0017
IVT_Receipt_Content: Harmonizing_Failed (IVT 4) = False
for LRU_2.</t>
  </si>
  <si>
    <t>STEP 32:
Verifies that in Harmonizing Mode the LRU Software transmit the below on STL_Bus when Harmonizing_PSR_Data_Fault = True,
IVT_Receipt_Envelope = 0x0017
IVT_Receipt_Content: Harmonizing_Failed (IVT 4) = True
for LRU_2.</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</si>
  <si>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0x0012
(IVT 0-2 of IVT_Receipt_Content:  LRU Location = 0x2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LRU_2.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</si>
  <si>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LRU_2.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</si>
  <si>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LRU_2.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</si>
  <si>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LRU_2.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</si>
  <si>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LRU_2.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</si>
  <si>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LRU_2.</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</si>
  <si>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LRU_2.</t>
  </si>
  <si>
    <t xml:space="preserve">Verifies the LRU software doesn't transmit Harmonizing Needed on STL_Bus using IVT_Receipt_Envelope and IVT_Receipt_Content as below if 
Harmonizing flag initializations are not done and default values are not applied to Harmonizing Parameters (Condition = False)
for Elevator Left,
IVT_Receipt_Envelope = 0x0000
IVT_Receipt_Content = 0x0000
</t>
  </si>
  <si>
    <t xml:space="preserve">Verifies the LRU software transmit Harmonizing Needed on STL_Bus using IVT_Receipt_Envelope and IVT_Receipt_Content as below if 
Harmonizing flag initializations and default values are applied to Harmonizing Parameters (Condition = True)
for Elevator Left,
IVT_Receipt_Envelope = 0x0011
IVT_Receipt_Content = 0x0001
</t>
  </si>
  <si>
    <t>STEP 32:
Verifies that in Harmonizing Mode the LRU Software transmit the below on STL_Bus when Harmonizing_PSR_Data_Fault = False,
IVT_Receipt_Envelope = 0x0017
IVT_Receipt_Content: Harmonizing_Failed (IVT 4) = False
for LRU_5.</t>
  </si>
  <si>
    <t>STEP 32:
Verifies that in Harmonizing Mode the LRU Software transmit the below on STL_Bus when Harmonizing_PSR_Data_Fault = True,
IVT_Receipt_Envelope = 0x0017
IVT_Receipt_Content: Harmonizing_Failed (IVT 4) = True
for LRU_5.</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</si>
  <si>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0x0015
(IVT 0-2 of IVT_Receipt_Content:  LRU Location = 0x5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LRU_5.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</si>
  <si>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LRU_5.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</si>
  <si>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LRU_5.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</si>
  <si>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LRU_5.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</si>
  <si>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LRU_5.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</si>
  <si>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LRU_5.</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</si>
  <si>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LRU_5.</t>
  </si>
  <si>
    <t xml:space="preserve">Verifies the LRU software doesn't transmit Harmonizing Needed on STL_Bus using IVT_Receipt_Envelope and IVT_Receipt_Content as below if 
Harmonizing flag initializations are not done and default values are not applied to Harmonizing Parameters (Condition = False)
for Elevator Harmonizeht,
IVT_Receipt_Envelope = 0x0000
IVT_Receipt_Content = 0x0000
</t>
  </si>
  <si>
    <t xml:space="preserve">Verifies the LRU software transmit Harmonizing Needed on STL_Bus using IVT_Receipt_Envelope and IVT_Receipt_Content as below if 
Harmonizing flag initializations and default values are applied to Harmonizing Parameters (Condition = True)
for Elevator Harmonizeht,
IVT_Receipt_Envelope = 0x0011
IVT_Receipt_Content = 0x0001
</t>
  </si>
  <si>
    <t>STEP 32:
Verifies that in Harmonizing Mode the LRU Software transmit the below on STL_Bus when Harmonizing_PSR_Data_Fault = False,
IVT_Receipt_Envelope = 0x0017
IVT_Receipt_Content: Harmonizing_Failed (IVT 4) = False
for LRU_6.</t>
  </si>
  <si>
    <t>STEP 32:
Verifies that in Harmonizing Mode the LRU Software transmit the below on STL_Bus when Harmonizing_PSR_Data_Fault = True,
IVT_Receipt_Envelope = 0x0017
IVT_Receipt_Content: Harmonizing_Failed (IVT 4) = True
for LRU_6.</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</si>
  <si>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0x0016
(IVT 0-2 of IVT_Receipt_Content:  LRU Location = 0x6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LRU_6.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</si>
  <si>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LRU_6.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</si>
  <si>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LRU_6.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</si>
  <si>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LRU_6.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</si>
  <si>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LRU_6.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</si>
  <si>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LRU_6.</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</si>
  <si>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LRU_6.</t>
  </si>
  <si>
    <t xml:space="preserve">Verifies the LRU software doesn't transmit Harmonizing Needed on STL_Bus using IVT_Receipt_Envelope and IVT_Receipt_Content as below if 
Harmonizing flag initializations are not done and default values are not applied to Harmonizing Parameters (Condition = False)
for Rudder,
IVT_Receipt_Envelope = 0x0000
IVT_Receipt_Content = 0x0000
</t>
  </si>
  <si>
    <t xml:space="preserve">Verifies the LRU software transmit Harmonizing Needed on STL_Bus using IVT_Receipt_Envelope and IVT_Receipt_Content as below if 
Harmonizing flag initializations and default values are applied to Harmonizing Parameters (Condition = True)
for Rudder,
IVT_Receipt_Envelope = 0x0011
IVT_Receipt_Content = 0x0001
</t>
  </si>
  <si>
    <t>STEP 32:
Verifies that in Harmonizing Mode the LRU Software transmit the below on STL_Bus when Harmonizing_PSR_Data_Fault = False,
IVT_Receipt_Envelope = 0x0017
IVT_Receipt_Content: Harmonizing_Failed (IVT 4) = False
for LRU_7.</t>
  </si>
  <si>
    <t>STEP 32:
Verifies that in Harmonizing Mode the LRU Software transmit the below on STL_Bus when Harmonizing_PSR_Data_Fault = True,
IVT_Receipt_Envelope = 0x0017
IVT_Receipt_Content: Harmonizing_Failed (IVT 4) = True
for LRU_7.</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</si>
  <si>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0x0017
(IVT 0-2 of IVT_Receipt_Content:  LRU Location = 0x7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LRU_7.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</si>
  <si>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LRU_7.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</si>
  <si>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LRU_7.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</si>
  <si>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LRU_7.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</si>
  <si>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LRU_7.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</si>
  <si>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LRU_7.</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</si>
  <si>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LRU_7.</t>
  </si>
  <si>
    <t xml:space="preserve">Verifies the LRU software doesn't transmit Harmonizing Needed on STL_Bus using IVT_Receipt_Envelope and IVT_Receipt_Content as below if 
Harmonizing flag initializations are not done and default values are not applied to Harmonizing Parameters (Condition = False)
for Spoiler Left,
IVT_Receipt_Envelope = 0x0000
IVT_Receipt_Content = 0x0000
</t>
  </si>
  <si>
    <t xml:space="preserve">Verifies the LRU software transmit Harmonizing Needed on STL_Bus using IVT_Receipt_Envelope and IVT_Receipt_Content as below if 
Harmonizing flag initializations and default values are applied to Harmonizing Parameters (Condition = True)
for Spoiler Left,
IVT_Receipt_Envelope = 0x0011
IVT_Receipt_Content = 0x0001
</t>
  </si>
  <si>
    <t>STEP 32:
Verifies that in Harmonizing Mode the LRU Software transmit the below on STL_Bus when Harmonizing_PSR_Data_Fault = False,
IVT_Receipt_Envelope = 0x0017
IVT_Receipt_Content: Harmonizing_Failed (IVT 4) = False
for LRU_3.</t>
  </si>
  <si>
    <t>STEP 32:
Verifies that in Harmonizing Mode the LRU Software transmit the below on STL_Bus when Harmonizing_PSR_Data_Fault = True,
IVT_Receipt_Envelope = 0x0017
IVT_Receipt_Content: Harmonizing_Failed (IVT 4) = True
for LRU_3.</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</si>
  <si>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0x0013
(IVT 0-2 of IVT_Receipt_Content:  LRU Location = 0x3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LRU_3.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</si>
  <si>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LRU_3.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</si>
  <si>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LRU_3.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</si>
  <si>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LRU_3.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</si>
  <si>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LRU_3.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</si>
  <si>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LRU_3.</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</si>
  <si>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LRU_3.</t>
  </si>
  <si>
    <t xml:space="preserve">Verifies the LRU software doesn't transmit Harmonizing Needed on STL_Bus using IVT_Receipt_Envelope and IVT_Receipt_Content as below if 
Harmonizing flag initializations are not done and default values are not applied to Harmonizing Parameters (Condition = False)
for Spoiler Harmonizeht,
IVT_Receipt_Envelope = 0x0000
IVT_Receipt_Content = 0x0000
</t>
  </si>
  <si>
    <t xml:space="preserve">Verifies the LRU software transmit Harmonizing Needed on STL_Bus using IVT_Receipt_Envelope and IVT_Receipt_Content as below if 
Harmonizing flag initializations and default values are applied to Harmonizing Parameters (Condition = True)
for Spoiler Harmonizeht,
IVT_Receipt_Envelope = 0x0011
IVT_Receipt_Content = 0x0001
</t>
  </si>
  <si>
    <t>STEP 32:
Verifies that in Harmonizing Mode the LRU Software transmit the below on STL_Bus when Harmonizing_PSR_Data_Fault = False,
IVT_Receipt_Envelope = 0x0017
IVT_Receipt_Content: Harmonizing_Failed (IVT 4) = False
for LRU_4.</t>
  </si>
  <si>
    <t>STEP 32:
Verifies that in Harmonizing Mode the LRU Software transmit the below on STL_Bus when Harmonizing_PSR_Data_Fault = True,
IVT_Receipt_Envelope = 0x0017
IVT_Receipt_Content: Harmonizing_Failed (IVT 4) = True
for LRU_4.</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</si>
  <si>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0x0014
(IVT 0-2 of IVT_Receipt_Content:  LRU Location = 0x4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LRU_4.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</si>
  <si>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LRU_4.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</si>
  <si>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LRU_4.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</si>
  <si>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LRU_4.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</si>
  <si>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LRU_4.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</si>
  <si>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LRU_4.</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</si>
  <si>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LRU_4.</t>
  </si>
  <si>
    <t xml:space="preserve">Verifies the LRU software to not enter Harmonizing mode when
Harmonizing_Active_STL = True and remains True for 9 consecutive STL frames, 
Harmonizing_Active_STL is False for next 2 consecutive STL frames
while IVT_Mode_ModeLgc is  True.
</t>
  </si>
  <si>
    <t>IVT_Mode_ModeLgc = True
Harmonizing_Active_STL = True and remains True for 9 consecutive STL frames.
Harmonizing_Active_STL is False for next 2 consecutive STL frames.</t>
  </si>
  <si>
    <t xml:space="preserve">Frame counter  value for Harmonizing_Active_STL is been checked using Sample_1.tcl
Value in Address for m_eIVT_Mode ( = 0xE0383) is in USER_UINT_1 on Test Peek 19 Index.
Value of m_eIVT_Mode / USER_UINT_1 != 5 ; LRU is not in Harmonizing Mode 
Value of m_eIVT_Mode / USER_UINT_1 = 5  ; LRU is in Harmonizing Mode     </t>
  </si>
  <si>
    <t xml:space="preserve">Verifies the LRU software enters into Harmonizing mode only when 
Harmonizing_Active_STL is True and remains True for 10 consecutive STL frames
while IVT_Mode_ModeLgc is True .
</t>
  </si>
  <si>
    <t>IVT_Mode_ModeLgc = True
Harmonizing_Active_STL = True  for first 5 consecutive STL frames.
Harmonizing_Active_STL is False for next 4 consecutive STL frames.
Harmonizing_Active_STL = True  for next 10 consecutive STL frames.</t>
  </si>
  <si>
    <t>Verifies the LRU software transmits the below IVT response values over STL_Bus when 
IVT_Mode_ModeLgc is True AND Harmonizing_Active_STL transitions to True
• IVT_Receipt_Envelope = 0
• IVT_Receipt_Content = 0</t>
  </si>
  <si>
    <t>IVT_Mode_ModeLgc = True 
Harmonizing_Active_STL transitions to True</t>
  </si>
  <si>
    <t xml:space="preserve">Verifies the LRU software does not enter into Harmonizing mode when
Harmonizing_Active_STL transitions to True  and remains True for 10 consecutive STL frames
while IVT_Mode_ModeLgc  is True for 8 Frames and False for 2 frames.
</t>
  </si>
  <si>
    <t>IVT_Mode_ModeLgc = True for 8 frames and False for 2 frames
Harmonizing_Active_STL transitions to True and remains True for 10 consecutive STL frames.</t>
  </si>
  <si>
    <t>IVT_Mode_ModeLgc is True  
Harmonizing_Active_STL is False</t>
  </si>
  <si>
    <t>IVT_Mode_ModeLgc is False  
Harmonizing_Active_STL transitions to True</t>
  </si>
  <si>
    <t>STEP 24:
Verifies that in Harmonizing Mode the LRU Software set its signals to the below values for LRU_7 Atype-2:
Lower_Limit_LRU_PSR_New = -2.291 inches (Lower_Limit_Harmonized)
Upper_Limit_LRU_PSR_New = = 2.317 inches (Upper_Limit_Harmonized)</t>
  </si>
  <si>
    <t>LRU to be configured as LRU_7 Atype-2.
FLIGHT_MODE
LRU to be in Harmonizing Mode.
Primary_Harmonize_Calc = True</t>
  </si>
  <si>
    <t>STEP 25:
Verifies that in Harmonizing Mode the LRU Software set Lower_Limit_LRU_PSR_New = -2.291 inches (Lower_Limit_Harmonized) for LRU_7 Atype-2.</t>
  </si>
  <si>
    <t>STEP 25:
Verifies that in Harmonizing Mode the LRU Software set Lower_Limit_LRU_PSR_New = -2.291 inches (Lower_Limit_Harmonized) for LRU_7 Atype-3.</t>
  </si>
  <si>
    <t>LRU to be configured as LRU_7 Atype-3.
FLIGHT_MODE
LRU to be in Harmonizing Mode.
Primary_Harmonize_Calc = True</t>
  </si>
  <si>
    <t>STEP 27:
Verifies that in Harmonizing Mode the LRU Software set Upper_Limit_LRU_PSR_New = 2.317 inches (Upper_Limit_Default) for LRU_7 Atype-2.</t>
  </si>
  <si>
    <t>STEP 27:
Verifies that in Harmonizing Mode the LRU Software set Upper_Limit_LRU_PSR_New = 2.317 inches (Upper_Limit_Default) for LRU_7 Atype-3.</t>
  </si>
  <si>
    <t>STEP 24:
Verifies that in Harmonizing Mode the LRU Software set its signals to the below values for LRU_3 Atype-2:
Lower_Limit_LRU_PSR_New = 0.0430 inches (Lower_Limit_Harmonized)
Upper_Limit_LRU_PSR_New = = 2.542 inches (Upper_Limit_Harmonized)</t>
  </si>
  <si>
    <t>LRU to be configured as LRU_3 Atype-2.
FLIGHT_MODE
LRU to be in Harmonizing Mode.
Spoiler_Harmonize_Calc = True</t>
  </si>
  <si>
    <t>STEP 24:
Verifies that in Harmonizing Mode the LRU Software set its signals to the below values for LRU_3 Atype-3:
Lower_Limit_LRU_PSR_New = 0.0440 inches (Lower_Limit_Harmonized)
Upper_Limit_LRU_PSR_New = = 2.72 inches (Upper_Limit_Harmonized)</t>
  </si>
  <si>
    <t>LRU to be configured as LRU_3 Atype-3.
FLIGHT_MODE
LRU to be in Harmonizing Mode.
Spoiler_Harmonize_Calc = True</t>
  </si>
  <si>
    <t>STEP 25:
Verifies that in Harmonizing Mode the LRU Software set its signals to the below values for LRU_3 Atype-2:
Lower_Limit_LRU_PSR_New = 0.0430 inches (Lower_Limit_Harmonized)</t>
  </si>
  <si>
    <t>STEP 27:
Verifies that in Harmonizing Mode the LRU Software set its signals to the below values for LRU_3 Atype-3:
Upper_Limit_LRU_PSR_New = = 2.72 inches (Upper_Limit_Default)</t>
  </si>
  <si>
    <t>STEP 24:
Verifies that in Harmonizing Mode the LRU Software set its signals to the below values for LRU_4 Atype-2:
Lower_Limit_LRU_PSR_New = 0.0430 inches (Lower_Limit_Harmonized)
Upper_Limit_LRU_PSR_New = = 2.542 inches (Upper_Limit_Harmonized)</t>
  </si>
  <si>
    <t>LRU to be configured as LRU_4 Atype-2.
FLIGHT_MODE
LRU to be in Harmonizing Mode.
Spoiler_Harmonize_Calc = True</t>
  </si>
  <si>
    <t>STEP 24:
Verifies that in Harmonizing Mode the LRU Software set its signals to the below values for LRU_4 Atype-3:
Lower_Limit_LRU_PSR_New = 0.0440 inches (Lower_Limit_Harmonized)
Upper_Limit_LRU_PSR_New = = 2.72 inches (Upper_Limit_Harmonized)</t>
  </si>
  <si>
    <t>LRU to be configured as LRU_4 Atype-3.
FLIGHT_MODE
LRU to be in Harmonizing Mode.
Spoiler_Harmonize_Calc = True</t>
  </si>
  <si>
    <t>LRU to be configured as LRU_1 Atype-2.
LRU to be in Harmonizing Mode.</t>
  </si>
  <si>
    <t>LRU to be configured as LRU_1 Atype-3.
LRU to be in Harmonizing Mode.</t>
  </si>
  <si>
    <t>LRU to be configured as LRU_2 Atype-2.
LRU to be in Harmonizing Mode.</t>
  </si>
  <si>
    <t>LRU to be configured as LRU_2 Atype-3.
LRU to be in Harmonizing Mode.</t>
  </si>
  <si>
    <t>LRU to be configured as LRU_5 Atype-2.
LRU to be in Harmonizing Mode.</t>
  </si>
  <si>
    <t>LRU to be configured as LRU_5 Atype-3.
LRU to be in Harmonizing Mode.</t>
  </si>
  <si>
    <t>LRU to be configured as LRU_6 Atype-2.
LRU to be in Harmonizing Mode.</t>
  </si>
  <si>
    <t>LRU to be configured as LRU_6 Atype-3.
LRU to be in Harmonizing Mode.</t>
  </si>
  <si>
    <t>LRU to be configured as LRU_7 Atype-2.
LRU to be in Harmonizing Mode.</t>
  </si>
  <si>
    <t>LRU to be configured as LRU_7 Atype-3.
LRU to be in Harmonizing Mode.</t>
  </si>
  <si>
    <t>LRU to be configured as LRU_3 Atype-2.
LRU to be in Harmonizing Mode.</t>
  </si>
  <si>
    <t>LRU to be configured as LRU_3 Atype-3.
LRU to be in Harmonizing Mode.</t>
  </si>
  <si>
    <t>LRU to be configured as LRU_4 Atype-2.
LRU to be in Harmonizing Mode.</t>
  </si>
  <si>
    <t>LRU to be configured as LRU_4 Atype-3.
LRU to be in Harmonizing Mode.</t>
  </si>
  <si>
    <t>LRU to be configured as LRU_1 Atype-1.
LRU to be in Harmonizing Mode.</t>
  </si>
  <si>
    <t>LRU to be configured as LRU_2 Atype-1.
LRU to be in Harmonizing Mode.</t>
  </si>
  <si>
    <t>LRU to be configured as LRU_5 Atype-1.
LRU to be in Harmonizing Mode.</t>
  </si>
  <si>
    <t>LRU to be configured as LRU_6 Atype-1.
LRU to be in Harmonizing Mode.</t>
  </si>
  <si>
    <t>LRU to be configured as LRU_7 Atype-1.
LRU to be in Harmonizing Mode.</t>
  </si>
  <si>
    <t>LRU to be configured as LRU_3 Atype-1.
LRU to be in Harmonizing Mode.</t>
  </si>
  <si>
    <t>LRU to be configured as LRU_4 Atype-1.
LRU to be in Harmonizing Mode.</t>
  </si>
  <si>
    <t>STEP 32:
Verifies that in Harmonizing Mode the LRU Software transmit the below on STL_Bus when Harmonizing_PSR_Data_Fault = True,
IVT_Receipt_Envelope = 0x0017
IVT_Receipt_Content: Harmonizing_Failed (IVT 4) = True
for LRU_1 Atype-1.</t>
  </si>
  <si>
    <t>LRU to be configured as LRU_1 for Atype-1.
FLIGHT_MODE
LRU to be in Harmonizing Mode.</t>
  </si>
  <si>
    <t>STEP 33:
Verifies that in Harmonizing Mode the LRU Software set LRU_Harmonizing_Needed_PIVT = True and Corrupt_PSR_Harmonizing_SIVT_Fault_Init = True when Harmonizing_PSR_Data_Fault = True for LRU_1 Atype-1.</t>
  </si>
  <si>
    <t>STEP 32:
Verifies that in Harmonizing Mode the LRU Software transmit the below on STL_Bus when Harmonizing_PSR_Data_Fault = True,
IVT_Receipt_Envelope = 0x0017
IVT_Receipt_Content: Harmonizing_Failed (IVT 4) = True
for LRU_2 Atype-1.</t>
  </si>
  <si>
    <t>LRU to be configured as LRU_2 for Atype-1.
FLIGHT_MODE
LRU to be in Harmonizing Mode.</t>
  </si>
  <si>
    <t>STEP 33:
Verifies that in Harmonizing Mode the LRU Software set LRU_Harmonizing_Needed_PIVT = True and Corrupt_PSR_Harmonizing_SIVT_Fault_Init = True when Harmonizing_PSR_Data_Fault = True for LRU_2 Atype-1.</t>
  </si>
  <si>
    <t>STEP 32:
Verifies that in Harmonizing Mode the LRU Software transmit the below on STL_Bus when Harmonizing_PSR_Data_Fault = True,
IVT_Receipt_Envelope = 0x0017
IVT_Receipt_Content: Harmonizing_Failed (IVT 4) = True
for LRU_5 Atype-1.</t>
  </si>
  <si>
    <t>LRU to be configured as LRU_5 for Atype-1.
FLIGHT_MODE
LRU to be in Harmonizing Mode.</t>
  </si>
  <si>
    <t>STEP 33:
Verifies that in Harmonizing Mode the LRU Software set LRU_Harmonizing_Needed_PIVT = True and Corrupt_PSR_Harmonizing_SIVT_Fault_Init = True when Harmonizing_PSR_Data_Fault = True for LRU_5 Atype-1.</t>
  </si>
  <si>
    <t>STEP 32:
Verifies that in Harmonizing Mode the LRU Software transmit the below on STL_Bus when Harmonizing_PSR_Data_Fault = True,
IVT_Receipt_Envelope = 0x0017
IVT_Receipt_Content: Harmonizing_Failed (IVT 4) = True
for LRU_6 Atype-1.</t>
  </si>
  <si>
    <t>LRU to be configured as LRU_6 for Atype-1.
FLIGHT_MODE
LRU to be in Harmonizing Mode.</t>
  </si>
  <si>
    <t>STEP 33:
Verifies that in Harmonizing Mode the LRU Software set LRU_Harmonizing_Needed_PIVT = True and Corrupt_PSR_Harmonizing_SIVT_Fault_Init = True when Harmonizing_PSR_Data_Fault = True for LRU_6 Atype-1.</t>
  </si>
  <si>
    <t>STEP 32:
Verifies that in Harmonizing Mode the LRU Software transmit the below on STL_Bus when Harmonizing_PSR_Data_Fault = True,
IVT_Receipt_Envelope = 0x0017
IVT_Receipt_Content: Harmonizing_Failed (IVT 4) = True
for LRU_7 Atype-1.</t>
  </si>
  <si>
    <t>LRU to be configured as LRU_7 for Atype-1.
FLIGHT_MODE
LRU to be in Harmonizing Mode.</t>
  </si>
  <si>
    <t>STEP 33:
Verifies that in Harmonizing Mode the LRU Software set LRU_Harmonizing_Needed_PIVT = True and Corrupt_PSR_Harmonizing_SIVT_Fault_Init = True when Harmonizing_PSR_Data_Fault = True for LRU_7 Atype-1.</t>
  </si>
  <si>
    <t>STEP 32:
Verifies that in Harmonizing Mode the LRU Software transmit the below on STL_Bus when Harmonizing_PSR_Data_Fault = True,
IVT_Receipt_Envelope = 0x0017
IVT_Receipt_Content: Harmonizing_Failed (IVT 4) = True
for LRU_3 Atype-1.</t>
  </si>
  <si>
    <t>LRU to be configured as LRU_3 for Atype-1.
FLIGHT_MODE
LRU to be in Harmonizing Mode.</t>
  </si>
  <si>
    <t>STEP 33:
Verifies that in Harmonizing Mode the LRU Software set LRU_Harmonizing_Needed_PIVT = True and Corrupt_PSR_Harmonizing_SIVT_Fault_Init = True when Harmonizing_PSR_Data_Fault = True for LRU_3 Atype-1.</t>
  </si>
  <si>
    <t>STEP 32:
Verifies that in Harmonizing Mode the LRU Software transmit the below on STL_Bus when Harmonizing_PSR_Data_Fault = True,
IVT_Receipt_Envelope = 0x0017
IVT_Receipt_Content: Harmonizing_Failed (IVT 4) = True
for LRU_4 Atype-1.</t>
  </si>
  <si>
    <t>LRU to be configured as LRU_4 for Atype-1.
FLIGHT_MODE
LRU to be in Harmonizing Mode.</t>
  </si>
  <si>
    <t>STEP 33:
Verifies that in Harmonizing Mode the LRU Software set LRU_Harmonizing_Needed_PIVT = True and Corrupt_PSR_Harmonizing_SIVT_Fault_Init = True when Harmonizing_PSR_Data_Fault = True for LRU_4 Atype-1.</t>
  </si>
  <si>
    <t>STEP 32:
Verifies that in Harmonizing Mode the LRU Software transmit the below on STL_Bus when Harmonizing_PSR_Data_Fault = False,
IVT_Receipt_Envelope = 0x0017
IVT_Receipt_Content: Harmonizing_Failed (IVT 4) = False
for LRU_1 Atype-1.</t>
  </si>
  <si>
    <t>STEP 33:
Verifies that in Harmonizing Mode the LRU Software set LRU_Harmonizing_Needed_PIVT = False and Corrupt_PSR_Harmonizing_SIVT_Fault_Init = False when Harmonizing_PSR_Data_Fault = False for LRU_1 Atype-1.</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</si>
  <si>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0x0011
(IVT 0-2 of IVT_Receipt_Content:  LRU Location = 0x1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LRU_1 Atype-1.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</si>
  <si>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LRU_1 Atype-1.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</si>
  <si>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LRU_1 Atype-1.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</si>
  <si>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LRU_1 Atype-1.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</si>
  <si>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LRU_1 Atype-1.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</si>
  <si>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LRU_1 Atype-1.</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</si>
  <si>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LRU_1 Atype-1.</t>
  </si>
  <si>
    <t>STEP 32:
Verifies that in Harmonizing Mode the LRU Software transmit the below on STL_Bus when Harmonizing_PSR_Data_Fault = False,
IVT_Receipt_Envelope = 0x0017
IVT_Receipt_Content: Harmonizing_Failed (IVT 4) = False
for LRU_2 Atype-1 Atype-1.</t>
  </si>
  <si>
    <t>STEP 33:
Verifies that in Harmonizing Mode the LRU Software set LRU_Harmonizing_Needed_PIVT = False and Corrupt_PSR_Harmonizing_SIVT_Fault_Init = False when Harmonizing_PSR_Data_Fault = False for LRU_2 Atype-1 Atype-1.</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</si>
  <si>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0x0012
(IVT 0-2 of IVT_Receipt_Content:  LRU Location = 0x2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LRU_2 Atype-1 Atype-1.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</si>
  <si>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LRU_2 Atype-1 Atype-1.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</si>
  <si>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LRU_2 Atype-1 Atype-1.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</si>
  <si>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LRU_2 Atype-1 Atype-1.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</si>
  <si>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LRU_2 Atype-1 Atype-1.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</si>
  <si>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LRU_2 Atype-1 Atype-1.</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</si>
  <si>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LRU_2 Atype-1 Atype-1.</t>
  </si>
  <si>
    <t>STEP 32:
Verifies that in Harmonizing Mode the LRU Software transmit the below on STL_Bus when Harmonizing_PSR_Data_Fault = False,
IVT_Receipt_Envelope = 0x0017
IVT_Receipt_Content: Harmonizing_Failed (IVT 4) = False
for LRU_5 Atype-1.</t>
  </si>
  <si>
    <t>STEP 33:
Verifies that in Harmonizing Mode the LRU Software set LRU_Harmonizing_Needed_PIVT = False and Corrupt_PSR_Harmonizing_SIVT_Fault_Init = False when Harmonizing_PSR_Data_Fault = False for LRU_5 Atype-1.</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</si>
  <si>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0x0015
(IVT 0-2 of IVT_Receipt_Content:  LRU Location = 0x5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LRU_5 Atype-1.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</si>
  <si>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LRU_5 Atype-1.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</si>
  <si>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LRU_5 Atype-1.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</si>
  <si>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LRU_5 Atype-1.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</si>
  <si>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LRU_5 Atype-1.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</si>
  <si>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LRU_5 Atype-1.</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</si>
  <si>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LRU_5 Atype-1.</t>
  </si>
  <si>
    <t>STEP 32:
Verifies that in Harmonizing Mode the LRU Software transmit the below on STL_Bus when Harmonizing_PSR_Data_Fault = False,
IVT_Receipt_Envelope = 0x0017
IVT_Receipt_Content: Harmonizing_Failed (IVT 4) = False
for LRU_6 Atype-1.</t>
  </si>
  <si>
    <t>STEP 33:
Verifies that in Harmonizing Mode the LRU Software set LRU_Harmonizing_Needed_PIVT = False and Corrupt_PSR_Harmonizing_SIVT_Fault_Init = False when Harmonizing_PSR_Data_Fault = False for LRU_6 Atype-1.</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</si>
  <si>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0x0016
(IVT 0-2 of IVT_Receipt_Content:  LRU Location = 0x6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LRU_6 Atype-1.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</si>
  <si>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LRU_6 Atype-1.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</si>
  <si>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LRU_6 Atype-1.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</si>
  <si>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LRU_6 Atype-1.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</si>
  <si>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LRU_6 Atype-1.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</si>
  <si>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LRU_6 Atype-1.</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</si>
  <si>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LRU_6 Atype-1.</t>
  </si>
  <si>
    <t>STEP 24:
Verifies that in Harmonizing Mode the LRU Software set its signals to the below values for LRU_7 Atype-1 :
Lower_Limit_LRU_PSR_New = -2.291 inches (Lower_Limit_Harmonized)
Upper_Limit_LRU_PSR_New = = 2.317 inches (Upper_Limit_Harmonized)</t>
  </si>
  <si>
    <t>STEP 25:
Verifies that in Harmonizing Mode the LRU Software set Lower_Limit_LRU_PSR_New = -2.291 inches (Lower_Limit_Harmonized) for LRU_7 Atype-1 .</t>
  </si>
  <si>
    <t>STEP 27:
Verifies that in Harmonizing Mode the LRU Software set Upper_Limit_LRU_PSR_New = 2.317 inches (Upper_Limit_Default) for LRU_7 Atype-1 .</t>
  </si>
  <si>
    <t>STEP 32:
Verifies that in Harmonizing Mode the LRU Software transmit the below on STL_Bus when Harmonizing_PSR_Data_Fault = False,
IVT_Receipt_Envelope = 0x0017
IVT_Receipt_Content: Harmonizing_Failed (IVT 4) = False
for LRU_7 Atype-1.</t>
  </si>
  <si>
    <t>STEP 33:
Verifies that in Harmonizing Mode the LRU Software set LRU_Harmonizing_Needed_PIVT = False and Corrupt_PSR_Harmonizing_SIVT_Fault_Init = False when Harmonizing_PSR_Data_Fault = False for LRU_7 Atype-1.</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</si>
  <si>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0x0017
(IVT 0-2 of IVT_Receipt_Content:  LRU Location = 0x7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LRU_7 Atype-1.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</si>
  <si>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LRU_7 Atype-1.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</si>
  <si>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LRU_7 Atype-1.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</si>
  <si>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LRU_7 Atype-1.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</si>
  <si>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LRU_7 Atype-1.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</si>
  <si>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LRU_7 Atype-1.</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</si>
  <si>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LRU_7 Atype-1.</t>
  </si>
  <si>
    <t>STEP 24:
Verifies that in Harmonizing Mode the LRU Software set its signals to the below values for LRU_3 Atype-1 :
Lower_Limit_LRU_PSR_New = 0.0430 inches (Lower_Limit_Harmonized)
Upper_Limit_LRU_PSR_New = = 2.542 inches (Upper_Limit_Harmonized)</t>
  </si>
  <si>
    <t>STEP 25:
Verifies that in Harmonizing Mode the LRU Software set its signals to the below values for LRU_3 Atype-1 :
Lower_Limit_LRU_PSR_New = 0.0430 inches (Lower_Limit_Harmonized)</t>
  </si>
  <si>
    <t>STEP 32:
Verifies that in Harmonizing Mode the LRU Software transmit the below on STL_Bus when Harmonizing_PSR_Data_Fault = False,
IVT_Receipt_Envelope = 0x0017
IVT_Receipt_Content: Harmonizing_Failed (IVT 4) = False
for LRU_3 Atype-1.</t>
  </si>
  <si>
    <t>STEP 33:
Verifies that in Harmonizing Mode the LRU Software set LRU_Harmonizing_Needed_PIVT = False and Corrupt_PSR_Harmonizing_SIVT_Fault_Init = False when Harmonizing_PSR_Data_Fault = False for LRU_3 Atype-1.</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</si>
  <si>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0x0013
(IVT 0-2 of IVT_Receipt_Content:  LRU Location = 0x3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LRU_3 Atype-1.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</si>
  <si>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LRU_3 Atype-1.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</si>
  <si>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LRU_3 Atype-1.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</si>
  <si>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LRU_3 Atype-1.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</si>
  <si>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LRU_3 Atype-1.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</si>
  <si>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LRU_3 Atype-1.</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</si>
  <si>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LRU_3 Atype-1.</t>
  </si>
  <si>
    <t>STEP 24:
Verifies that in Harmonizing Mode the LRU Software set its signals to the below values for LRU_4 Atype-1 :
Lower_Limit_LRU_PSR_New = 0.0430 inches (Lower_Limit_Harmonized)
Upper_Limit_LRU_PSR_New = = 2.542 inches (Upper_Limit_Harmonized)</t>
  </si>
  <si>
    <t>STEP 32:
Verifies that in Harmonizing Mode the LRU Software transmit the below on STL_Bus when Harmonizing_PSR_Data_Fault = False,
IVT_Receipt_Envelope = 0x0017
IVT_Receipt_Content: Harmonizing_Failed (IVT 4) = False
for LRU_4 Atype-1.</t>
  </si>
  <si>
    <t>STEP 33:
Verifies that in Harmonizing Mode the LRU Software set LRU_Harmonizing_Needed_PIVT = False and Corrupt_PSR_Harmonizing_SIVT_Fault_Init = False when Harmonizing_PSR_Data_Fault = False for LRU_4 Atype-1.</t>
  </si>
  <si>
    <t>STEP 35:
Verifies that in Harmonizing Mode the LRU Software reply on STL_Bus with the following messages,
IVT_Receipt_Envelope = 0x0011
IVT_Receipt_Content = 0x0000
(IVT 0 of IVT_Receipt_Content: LRU_Harmonizing_Needed_PIVT = False)
IVT_Receipt_Envelope = 0x0012
IVT_Receipt_Content = 0x0014
(IVT 0-2 of IVT_Receipt_Content:  LRU Location = 0x4
IVT 3-4 of IVT_Receipt_Content:  LRU Asset type = 0x2)
IVT_Receipt_Envelope = 0x0013
IVT_Receipt_Content = 0x4203
(IVT 0-15 of IVT_Receipt_Content: LRU Asset ID = 0x4203)
IVT_Receipt_Envelope = 0x0014
IVT_Receipt_Content = 0xF7FC
(IVT 0-15 of IVT_Receipt_Content: LRU Harmonizing Gain = 0xF7FC)
IVT_Receipt_Envelope = 0x0015
IVT_Receipt_Content = 0xFEB9
(IVT 0-15 of IVT_Receipt_Content: LRU Harmonizing Offset = 0xFEB9)
IVT_Receipt_Envelope = 0x0017
IVT_Receipt_Content = 0x0004
(IVT 3 of IVT_Receipt_Content: Harmonizing_Complete = True)
IVT_Receipt_Envelope = 0x0018
IVT_Receipt_Content = 0xFEB9
(IVT 0-15 of IVT_Receipt_Content: Lower_Limit_LRU_PSR = 0xFEB9)
IVT_Receipt_Envelope = 0x0019
IVT_Receipt_Content = 0xFEB9
(IVT 0-15 of IVT_Receipt_Content: Upper_Limit_LRU_PSR = 0xFEB9)
when,
1) Harmonizing_PSR_Data_Fault = False (Condition = True)
2) K_Harmonize_ISM = 0xF7FC, Harmonize_Offset_ISM = 0xFEB9, Lower_Limit_LRU = 0xFEB9, Upper_Limit_LRU = 0xFEB9 (Condition = True)
3) IVT_Command_ISM = 0x0012 (Condition = True) (equal to 0x0012)
4) IVT_CmdData_ISM = 0x0001 (Condition = True) (equal to 0x0001)
for LRU_4 Atype-1.
(MCDC Achieved: T, T, T, T -&gt; T)</t>
  </si>
  <si>
    <t>STEP 35:
Verifies that in Harmonizing Mode the LRU Software doesn't change IVT_Receipt_Envelope and IVT_Receipt_Content on the STL Bus,
1) Harmonizing_PSR_Data_Fault = True (Condition = False)
2) K_Harmonize_ISM = 0xF7FC, Harmonize_Offset_ISM = 0xFEB9, Lower_Limit_LRU = 0xFEB9, Upper_Limit_LRU = 0xFEB9 (Condition = True)
3) IVT_Command_ISM = 0x0012 (Condition = True)
4) IVT_CmdData_ISM = 0x0001 (Condition = True)
for LRU_4 Atype-1.
(MCDC Achieved: F, T, T, T -&gt; F)</t>
  </si>
  <si>
    <t>STEP 35:
Verifies that in Harmonizing Mode the LRU Software doesn't change IVT_Receipt_Envelope and IVT_Receipt_Content on the STL Bus,
1) Harmonizing_PSR_Data_Fault = False (Condition = True)
2) K_Harmonize_ISM, Harmonize_Offset_ISM, Lower_Limit_LRU and Upper_Limit_LRU are not updated. (Condition = False)
3) IVT_Command_ISM = 0x0012 (Condition = True)
4) IVT_CmdData_ISM = 0x0001 (Condition = True)
for LRU_4 Atype-1.
(MCDC Achieved: T, F, T,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</si>
  <si>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0x0011 (Condition = False) (less than 0x0012)
4) IVT_CmdData_ISM = 0x0001 (Condition = True)
for LRU_4 Atype-1.
(MCDC Achieved: T, T, F, T -&gt; F)</t>
  </si>
  <si>
    <t>STEP 35:
Verifies that in Harmonizing Mode the LRU Software doesn't change IVT_Receipt_Envelope and IVT_Receipt_Content on the STL Bus,
1) Harmonizing_PSR_Data_Fault = False (Condition = True)
2) K_Harmonize_ISM = 0xF7FC, Harmonize_Offset_ISM = 0xFEB9, Lower_Limit_LRU = 0xFEB9, Upper_Limit_LRU = 0xFEB9 (Condition = True)
3) IVT_Command_ISM = 0x0012 (Condition = True)
4) IVT_CmdData_ISM = 0x0000 (Condition = False) (less than 0x0001)
for LRU_4 Atype-1.
(MCDC Achieved: T, T, T, F -&gt; F)</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</si>
  <si>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0x0013 (greater than 0x0012)
4) IVT_CmdData_ISM = 0x0001
for LRU_4 Atype-1.</t>
  </si>
  <si>
    <t>STEP 35:
Verifies that in Harmonizing Mode the LRU Software doesn't change IVT_Receipt_Envelope and IVT_Receipt_Content on the STL Bus,
1) Harmonizing_PSR_Data_Fault = False
2) K_Harmonize_ISM = 0xF7FC, Harmonize_Offset_ISM = 0xFEB9, Lower_Limit_LRU = 0xFEB9, Upper_Limit_LRU = 0xFEB9
3) IVT_Command_ISM = 0x0012
4) IVT_CmdData_ISM = 0x0002 (greater than 0x0001)
for LRU_4 Atype-1.</t>
  </si>
  <si>
    <t>Act_Disp_Range_Contract_Fault = False</t>
  </si>
  <si>
    <t>Act_Disp_Range_Contract_Fault = True</t>
  </si>
  <si>
    <t>Act_Disp_Range_Expand_Fault = False</t>
  </si>
  <si>
    <t>Act_Disp_Range_Expand_Fault = True</t>
  </si>
  <si>
    <t>Act_Disp_Range_Void_Fault = False</t>
  </si>
  <si>
    <t>Act_Disp_Range_Void_Fault = True</t>
  </si>
  <si>
    <t>Average of Act_Disp_Raw from STEP 1 = 0.0
Harmonize_Offset_Default = 0.173
Harmonize_SFC_Default = 1.0</t>
  </si>
  <si>
    <t>Average of Act_Disp_Raw from STEP 1 = 10.0
Harmonize_Offset_Default = 0.173
Harmonize_SFC_Default = 1.0</t>
  </si>
  <si>
    <t>Average of Act_Disp_Raw from STEP 6 = 0.0
Harmonize_Offset_Default = 0.173
Harmonize_SFC_Default = 1.0</t>
  </si>
  <si>
    <t>Average of Act_Disp_Raw from STEP 6 = 10.0
Harmonize_Offset_Default = 0.173
Harmonize_SFC_Default = 1.0</t>
  </si>
  <si>
    <t>Average of Act_Disp_Raw from STEP 11 = 0.0
Harmonize_Offset_Default = 0.173
Harmonize_SFC_Default = 1.0</t>
  </si>
  <si>
    <t>Average of Act_Disp_Raw from STEP 11 = 10.0
Harmonize_Offset_Default = 0.173
Harmonize_SFC_Default = 1.0</t>
  </si>
  <si>
    <t>Average of Act_Disp_Raw from STEP 1 = 0.0
Harmonize_Offset_Default = 0.223
Harmonize_SFC_Default = 1.0</t>
  </si>
  <si>
    <t>Average of Act_Disp_Raw from STEP 1 = 10.0
Harmonize_Offset_Default = 0.223
Harmonize_SFC_Default = 1.0</t>
  </si>
  <si>
    <t>Average of Act_Disp_Raw from STEP 6 = 0.0
Harmonize_Offset_Default = 0.223
Harmonize_SFC_Default = 1.0</t>
  </si>
  <si>
    <t>Average of Act_Disp_Raw from STEP 6 = 10.0
Harmonize_Offset_Default = 0.223
Harmonize_SFC_Default = 1.0</t>
  </si>
  <si>
    <t>Average of Act_Disp_Raw from STEP 11 = 0.0
Harmonize_Offset_Default = 0.223
Harmonize_SFC_Default = 1.0</t>
  </si>
  <si>
    <t>Average of Act_Disp_Raw from STEP 11 = 10.0
Harmonize_Offset_Default = 0.223
Harmonize_SFC_Default = 1.0</t>
  </si>
  <si>
    <t>Average of Act_Disp_Raw from STEP 1 = 0.0
Harmonize_Offset_Default = 0.248
Harmonize_SFC_Default = 1.0</t>
  </si>
  <si>
    <t>Average of Act_Disp_Raw from STEP 1 = 10.0
Harmonize_Offset_Default = 0.248
Harmonize_SFC_Default = 1.0</t>
  </si>
  <si>
    <t>Average of Act_Disp_Raw from STEP 6 = 0.0
Harmonize_Offset_Default = 0.248
Harmonize_SFC_Default = 1.0</t>
  </si>
  <si>
    <t>Average of Act_Disp_Raw from STEP 6 = 10.0
Harmonize_Offset_Default = 0.248
Harmonize_SFC_Default = 1.0</t>
  </si>
  <si>
    <t>Average of Act_Disp_Raw from STEP 11 = 0.0
Harmonize_Offset_Default = 0.248
Harmonize_SFC_Default = 1.0</t>
  </si>
  <si>
    <t>Average of Act_Disp_Raw from STEP 11 = 10.0
Harmonize_Offset_Default = 0.248
Harmonize_SFC_Default = 1.0</t>
  </si>
  <si>
    <t>Average of Act_Disp_Raw from STEP 1 = 0.0
Harmonize_Offset_Default = 0.294
Harmonize_SFC_Default = 1.0</t>
  </si>
  <si>
    <t>Average of Act_Disp_Raw from STEP 1 = 10.0
Harmonize_Offset_Default = 0.294
Harmonize_SFC_Default = 1.0</t>
  </si>
  <si>
    <t>Average of Act_Disp_Raw from STEP 6 = 0.0
Harmonize_Offset_Default = 0.294
Harmonize_SFC_Default = 1.0</t>
  </si>
  <si>
    <t>Average of Act_Disp_Raw from STEP 6 = 10.0
Harmonize_Offset_Default = 0.294
Harmonize_SFC_Default = 1.0</t>
  </si>
  <si>
    <t>Average of Act_Disp_Raw from STEP 11 = 0.0
Harmonize_Offset_Default = 0.294
Harmonize_SFC_Default = 1.0</t>
  </si>
  <si>
    <t>Average of Act_Disp_Raw from STEP 11 = 10.0
Harmonize_Offset_Default = 0.294
Harmonize_SFC_Default = 1.0</t>
  </si>
  <si>
    <t>Average of Act_Disp_Raw from STEP 1 = 0.0
Harmonize_Offset_Default = 0.013
Harmonize_SFC_Default = 1.0</t>
  </si>
  <si>
    <t>Average of Act_Disp_Raw from STEP 1 = 10.0
Harmonize_Offset_Default = 0.013
Harmonize_SFC_Default = 1.0</t>
  </si>
  <si>
    <t>Average of Act_Disp_Raw from STEP 6 = 0.0
Harmonize_Offset_Default = 0.013
Harmonize_SFC_Default = 1.0</t>
  </si>
  <si>
    <t>Average of Act_Disp_Raw from STEP 6 = 10.0
Harmonize_Offset_Default = 0.013
Harmonize_SFC_Default = 1.0</t>
  </si>
  <si>
    <t>Average of Act_Disp_Raw from STEP 11 = 0.0
Harmonize_Offset_Default = 0.013
Harmonize_SFC_Default = 1.0</t>
  </si>
  <si>
    <t>Average of Act_Disp_Raw from STEP 11 = 10.0
Harmonize_Offset_Default = 0.013
Harmonize_SFC_Default = 1.0</t>
  </si>
  <si>
    <t>Average of Act_Disp_Raw from STEP 1 = 0.0
Harmonize_Offset_Default = 1.314
Harmonize_SFC_Default = 1.0</t>
  </si>
  <si>
    <t>Average of Act_Disp_Raw from STEP 1 = 10.0
Harmonize_Offset_Default = 1.314
Harmonize_SFC_Default = 1.0</t>
  </si>
  <si>
    <t>Average of Act_Disp_Raw from STEP 6 = 0.0
Harmonize_Offset_Default = 1.314
Harmonize_SFC_Default = 1.0</t>
  </si>
  <si>
    <t>Average of Act_Disp_Raw from STEP 6 = 10.0
Harmonize_Offset_Default = 1.314
Harmonize_SFC_Default = 1.0</t>
  </si>
  <si>
    <t>Average of Act_Disp_Raw from STEP 1 = 0.0
Harmonize_Offset_Default = 1.407
Harmonize_SFC_Default = 1.0</t>
  </si>
  <si>
    <t>Average of Act_Disp_Raw from STEP 1 = 10.0
Harmonize_Offset_Default = 1.407
Harmonize_SFC_Default = 1.0</t>
  </si>
  <si>
    <t>Average of Act_Disp_Raw from STEP 6 = 0.0
Harmonize_Offset_Default = 1.407
Harmonize_SFC_Default = 1.0</t>
  </si>
  <si>
    <t>Average of Act_Disp_Raw from STEP 6 = 10.0
Harmonize_Offset_Default = 1.407
Harmonize_SFC_Default = 1.0</t>
  </si>
  <si>
    <t>LRUSWRS-1004</t>
  </si>
  <si>
    <t xml:space="preserve">TEST OUTLINE:
1) Set LRU configuration as per Initial conditions.
2) Initialize Outputs to a different value.
3) Set LRU to Harmonizing Mode.
4) Verify Outputs is not changed 
5) Clear Harmonizing Inputs.
Note:
As per LRUSWDD-130, LRUSWDD-1557, the ‘IVT_Run Task’ function will be executed only when ‘IVT_Mode_ModeLgc is True’. And As per LRUSWDD-2557, LRUSWDD-2568, as per these SWDD's, the signals mentioned in LRUSWRS-1004 are cleared when ‘Harmonizing_Active_STL is True’ i.e., Harmonizing_Active_STL is transit True only after ‘IVT_Mode_ModeLgc is True’. </t>
  </si>
  <si>
    <t>LRUSWRS-1003</t>
  </si>
  <si>
    <t>LRUSWRS-1002</t>
  </si>
  <si>
    <t>LRUSWRS-1001
LRUSWDD-2728</t>
  </si>
  <si>
    <t>LRUSWRS-1001</t>
  </si>
  <si>
    <t>This particular MCDC Condition for LRUSWRS-1001, STEP 35 CANNOT be achieved.
As per LRUSWRS-1001, STEP 34,
K_Harmonize_ISM = Harmonize_SFC_PSR, Harmonize_Offset_ISM = Harmonize_Offset_PSR, Lower_Limit_LRU = Lower_Limit_LRU_PSR, Upper_Limit_LRU = Upper_Limit_EBMC_PSR only when Harmonizing_PSR_Data_Fault is False.
So, K_Harmonize_ISM = Harmonize_SFC_PSR, Harmonize_Offset_ISM = Harmonize_Offset_PSR, Lower_Limit_LRU = Lower_Limit_LRU_PSR, Upper_Limit_LRU = Upper_Limit_EBMC_PSR when Harmonizing_PSR_Data_Fault = True specified in this test case cannot be achieved.</t>
  </si>
  <si>
    <t>This particular MCDC Condition for LRUSWRS-1001, STEP 35 CANNOT be achieved.
As per LRUSWRS-1001, STEP 34,
K_Harmonize_ISM = Harmonize_SFC_PSR, Harmonize_Offset_ISM = Harmonize_Offset_PSR, Lower_Limit_LRU = Lower_Limit_LRU_PSR, Upper_Limit_LRU = Upper_Limit_EBMC_PSR when Harmonizing_PSR_Data_Fault is False.
So, K_Harmonize_ISM, Harmonize_Offset_ISM, Lower_Limit_LRU and Upper_Limit_LRU are not updated when Harmonizing_PSR_Data_Fault = False specified in this test case cannot be achieved.</t>
  </si>
  <si>
    <t>LRUSWRS-1006</t>
  </si>
  <si>
    <t>LRUSWRS-1007
LRUSWRS-1004</t>
  </si>
  <si>
    <t>LRUSWRS-1003
LRUSWRS-1007
LRUSWRS-1008
LRUSWRS-1009</t>
  </si>
  <si>
    <t>LRUSWRS-1007
LRUSWRS-1008
LRUSWRS-1009</t>
  </si>
  <si>
    <t>LRUSWRS-1007
LRUSWRS-1008
LRUSWRS-1009
LRUSWRS-1010</t>
  </si>
  <si>
    <t>LRUSWRS-1011
LRUSWRS-1003</t>
  </si>
  <si>
    <t>LRUSWRS-1011
LRUSWRS-1003
LRUSWRS-1012
LRUSWRS-1020</t>
  </si>
  <si>
    <t>LRUSWRS-1011
LRUSWRS-1003
LRUSWRS-1020</t>
  </si>
  <si>
    <t>LRUSWRS-1011
LRUSWRS-1003
LRUSWRS-1013
LRUSWRS-1021</t>
  </si>
  <si>
    <t>LRUSWRS-1011
LRUSWRS-1003
LRUSWRS-1021</t>
  </si>
  <si>
    <t>Verifies the LRU software configured as Aileron Left initialize the signals listed below when IVT_Mode_ModeLgc is True AND Harmonizing_Active_STL transitions to True:
Contract_Stop_Collection_Complete = False
Expand_Stop_Collection_Complete = False
Void_Collection_Complete = False
Harmonizing_Complete = False
Harmonizing_Failed = False
Act_Disp_Range_Contract_Fault = False
Act_Disp_Range_Expand_Fault = False
Act_Disp_Range_Void_Fault = False
(MCDC Achieved: T, T-&gt; T)</t>
  </si>
  <si>
    <t xml:space="preserve">LRU to be configured as Aileron Left.
FLIGHT_MODE
Contract_Stop_Collection_Complete = True
Expand_Stop_Collection_Complete = True
Void_Collection_Complete = True
Harmonizing_Complete = True
Harmonizing_Failed = True
Act_Disp_Range_Contract_Fault = True
Act_Disp_Range_Expand_Fault = True
Act_Disp_Range_Void_Fault = True
</t>
  </si>
  <si>
    <t xml:space="preserve">Contract_Stop_Collection_Complete = False
Expand_Stop_Collection_Complete = False
Void_Collection_Complete = False
Harmonizing_Complete = False
Harmonizing_Failed = False
Act_Disp_Range_Contract_Fault = False
Act_Disp_Range_Expand_Fault = False
Act_Disp_Range_Void_Fault = False
</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</si>
  <si>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LRU_1.</t>
  </si>
  <si>
    <t>IVT_Receipt_Envelope = 0x0017
IVT_Receipt_Content: Contract_Stop_Collecton_Complete (IVT 0) = True
IVT_Receipt_Content: Harmonizing_Failed (IVT 4) = False</t>
  </si>
  <si>
    <t xml:space="preserve">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LRU_1. </t>
  </si>
  <si>
    <t>IVT_Receipt_Envelope = 0x0017
IVT_Receipt_Content: Contract_Stop_Collecton_Complete (IVT 0) = True
IVT_Receipt_Content: Harmonizing_Failed (IVT 4) = True</t>
  </si>
  <si>
    <t>"Contract_Stop_Collecton_Complete (IVT 0) = True" when Harmonizing Fails.
This is because, Contract_Stop_Collection_Complete is set to True from Step 2 of LRUSWRS-1001 and its value is not changed after that.</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</si>
  <si>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LRU_1.</t>
  </si>
  <si>
    <t>IVT_Receipt_Envelope = 0x0017
IVT_Receipt_Content: Expand_Stop_Collection_Complete (IVT 1) = True
IVT_Receipt_Content: Harmonizing_Failed (IVT 4) = False</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</si>
  <si>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LRU_1.</t>
  </si>
  <si>
    <t>IVT_Receipt_Envelope = 0x0017
IVT_Receipt_Content: Expand_Stop_Collection_Complete (IVT 1) = True
IVT_Receipt_Content: Harmonizing_Failed (IVT 4) = True</t>
  </si>
  <si>
    <t>"Expand_Stop_Collection_Complete (IVT 1) = True" when Harmonizing Fails.
This is because, Expand_Stop_Collection_Complete is set to True from Step 8 of LRUSWRS-1001 and its value is not changed after that.</t>
  </si>
  <si>
    <t>STEP 14a and 14b:
Verifies that in Harmonizing Mode the LRU Software transmit the below on STL_Bus when Act_Disp_Range_Void_Fault = False,
IVT_Receipt_Envelope = 0x0017
IVT_Receipt_Content: Void_Collection_Complete (IVT 2) = True
IVT_Receipt_Content: Harmonizing_Failed (IVT 4) = False
for LRU_1.</t>
  </si>
  <si>
    <t>IVT_Receipt_Envelope = 0x0017
IVT_Receipt_Content: Void_Collection_Complete (IVT 2) = True
IVT_Receipt_Content: Harmonizing_Failed (IVT 4) = False</t>
  </si>
  <si>
    <t>STEP 14a and 14b:
Verifies that in Harmonizing Mode the LRU Software transmit the below on STL_Bus when Act_Disp_Range_Void_Fault = True,
IVT_Receipt_Envelope = 0x0017
IVT_Receipt_Content: Void_Collection_Complete (IVT 2) = True
IVT_Receipt_Content: Harmonizing_Failed (IVT 4) = True
for LRU_1.</t>
  </si>
  <si>
    <t>IVT_Receipt_Envelope = 0x0017
IVT_Receipt_Content: Void_Collection_Complete (IVT 2) = True
IVT_Receipt_Content: Harmonizing_Failed (IVT 4) = True</t>
  </si>
  <si>
    <t>"Void_Collection_Complete (IVT 2) = True" when Harmonizing Fails.
This is because, Void_Collection_Complete is set to True from Step 12 of LRUSWRS-1001 and its value is not changed after that.</t>
  </si>
  <si>
    <t>STEP 16:
Verifies that in Harmonizing Mode the LRU Software set Primary_Harmonize_Calc = True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True (Condition = True)
for LRU_1.
(MCDC Achieved: T, T, T, T, T, T -&gt; T)</t>
  </si>
  <si>
    <t>Act_Disp_Range_Contract_Fault = False
Act_Disp_Range_Expand_Fault = False
Act_Disp_Range_Void_Fault = False
Contract_Stop_Collection_Complete = True
Expand_Stop_Collection_Complete = True
Void_Collection_Complete = True</t>
  </si>
  <si>
    <t>STEP 16:
Verifies that in Harmonizing Mode the LRU Software set Primary_Harmonize_Calc = False when,
Act_Disp_Range_Contract_Fault = True (Condition = False)
Act_Disp_Range_Expand_Fault = False (Condition = True)
Act_Disp_Range_Void_Fault = False (Condition = True)
Contract_Stop_Collection_Complete = True (Condition = True)
Expand_Stop_Collection_Complete = True (Condition = True)
Void_Collection_Complete = True (Condition = True)
for LRU_1.
(MCDC Achieved: F, T, T, T, T, T -&gt; F)</t>
  </si>
  <si>
    <t>Act_Disp_Range_Contract_Fault = True
Act_Disp_Range_Expand_Fault = False
Act_Disp_Range_Void_Fault = False
Contract_Stop_Collection_Complete = True
Expand_Stop_Collection_Complete = True
Void_Collection_Complete = True</t>
  </si>
  <si>
    <t>This particular MCDC Condition for LRUSWRS-1001, STEP 16 CANNOT be achieved.
As per LRUSWRS-1001, STEP 5,
Contract_Stop_Collection_Complete will be set to True only when Act_Disp_Range_Contract_Fault is False.
So, Contract_Stop_Collection_Complete = True when Act_Disp_Range_Contract_Fault = True specified in this test case cannot be achieved.</t>
  </si>
  <si>
    <t>STEP 16:
Verifies that in Harmonizing Mode the LRU Software set Primary_Harmonize_Calc = False when,
Act_Disp_Range_Contract_Fault = False (Condition = True)
Act_Disp_Range_Expand_Fault = True (Condition = False)
Act_Disp_Range_Void_Fault = False (Condition = True)
Contract_Stop_Collection_Complete = True (Condition = True)
Expand_Stop_Collection_Complete = True (Condition = True)
Void_Collection_Complete = True (Condition = True)
for LRU_1.
(MCDC Achieved: T, F, T, T, T, T -&gt; F)</t>
  </si>
  <si>
    <t>Act_Disp_Range_Contract_Fault = False
Act_Disp_Range_Expand_Fault = True
Act_Disp_Range_Void_Fault = False
Contract_Stop_Collection_Complete = True
Expand_Stop_Collection_Complete = True
Void_Collection_Complete = True</t>
  </si>
  <si>
    <t>This particular MCDC Condition for LRUSWRS-1001, STEP 16 CANNOT be achieved.
As per LRUSWRS-1001, STEP 10,
Expand_Stop_Collection_Complete will be set to True only when Act_Disp_Range_Expand_Fault is False.
So, Expand_Stop_Collection_Complete = True when Act_Disp_Range_Expand_Fault = True specified in this test case cannot be achieved.</t>
  </si>
  <si>
    <t>STEP 16:
Verifies that in Harmonizing Mode the LRU Software set Primary_Harmonize_Calc = False when,
Act_Disp_Range_Contract_Fault = False (Condition = True)
Act_Disp_Range_Expand_Fault = False (Condition = True)
Act_Disp_Range_Void_Fault = True (Condition = False)
Contract_Stop_Collection_Complete = True (Condition = True)
Expand_Stop_Collection_Complete = True (Condition = True)
Void_Collection_Complete = True (Condition = True)
for LRU_1.
(MCDC Achieved: T, T, F, T, T, T -&gt; F)</t>
  </si>
  <si>
    <t>Act_Disp_Range_Contract_Fault = False
Act_Disp_Range_Expand_Fault = False
Act_Disp_Range_Void_Fault = True
Contract_Stop_Collection_Complete = True
Expand_Stop_Collection_Complete = True
Void_Collection_Complete = True</t>
  </si>
  <si>
    <t>This particular MCDC Condition for LRUSWRS-1001, STEP 16 CANNOT be achieved.
As per LRUSWRS-1001, STEP 15,
Void_Collection_Complete will be set to True only when Act_Disp_Range_Void_Fault is False.
So, Void_Collection_Complete = True when Act_Disp_Range_Void_Fault = True specified in this test case cannot be achieved.</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</si>
  <si>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False (Condition = False)
Expand_Stop_Collection_Complete = True (Condition = True)
Void_Collection_Complete = True (Condition = True)
for LRU_1.
(MCDC Achieved: T, T, T, F, T, T -&gt; F)</t>
  </si>
  <si>
    <t>Act_Disp_Range_Contract_Fault = False
Act_Disp_Range_Expand_Fault = False
Act_Disp_Range_Void_Fault = False
Contract_Stop_Collection_Complete = False
Expand_Stop_Collection_Complete = True
Void_Collection_Complete = True</t>
  </si>
  <si>
    <t>This particular MCDC Condition for LRUSWRS-1001, STEP 16 CANNOT be achieved.
As per LRUSWRS-1001, STEP 5,
Contract_Stop_Collection_Complete will be set to True only when Act_Disp_Range_Contract_Fault is False.
So, Contract_Stop_Collection_Complete = False when Act_Disp_Range_Contract_Fault = False specified in this test case cannot be achieved.</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</si>
  <si>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False (Condition = False)
Void_Collection_Complete = True (Condition = True)
for LRU_1.
(MCDC Achieved: T, T, T, T, F, T -&gt; F)</t>
  </si>
  <si>
    <t>Act_Disp_Range_Contract_Fault = False
Act_Disp_Range_Expand_Fault = False
Act_Disp_Range_Void_Fault = False
Contract_Stop_Collection_Complete = True
Expand_Stop_Collection_Complete = False
Void_Collection_Complete = True</t>
  </si>
  <si>
    <t>This particular MCDC Condition for LRUSWRS-1001, STEP 16 CANNOT be achieved.
As per LRUSWRS-1001, STEP 10,
Expand_Stop_Collection_Complete will be set to True only when Act_Disp_Range_Expand_Fault is False.
So, Expand_Stop_Collection_Complete = False when Act_Disp_Range_Expand_Fault = False specified in this test case cannot be achieved.</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</si>
  <si>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False (Condition = False)
for LRU_1.
(MCDC Achieved: T, T, T, T, T, F -&gt; F)</t>
  </si>
  <si>
    <t>Act_Disp_Range_Contract_Fault = False
Act_Disp_Range_Expand_Fault = False
Act_Disp_Range_Void_Fault = False
Contract_Stop_Collection_Complete = True
Expand_Stop_Collection_Complete = True
Void_Collection_Complete = False</t>
  </si>
  <si>
    <t>This particular MCDC Condition for LRUSWRS-1001, STEP 16 CANNOT be achieved.
As per LRUSWRS-1001, STEP 15,
Void_Collection_Complete will be set to True only when Act_Disp_Range_Void_Fault is False.
So, Void_Collection_Complete = False when Act_Disp_Range_Void_Fault = False specified in this test case cannot be achieved.</t>
  </si>
  <si>
    <t>STEP 16:
Verifies that in Harmonizing Mode the LRU Software set Primary_Harmonize_Calc = False when,
Act_Disp_Range_Contract_Fault = True
Act_Disp_Range_Expand_Fault = False
Act_Disp_Range_Void_Fault = False
Contract_Stop_Collection_Complete = False
Expand_Stop_Collection_Complete = True
Void_Collection_Complete = True
for LRU_1.</t>
  </si>
  <si>
    <t>Act_Disp_Range_Contract_Fault = True
Act_Disp_Range_Expand_Fault = False
Act_Disp_Range_Void_Fault = False
Contract_Stop_Collection_Complete = False
Expand_Stop_Collection_Complete = True
Void_Collection_Complete = True</t>
  </si>
  <si>
    <t>STEP 16:
Verifies that in Harmonizing Mode the LRU Software set Primary_Harmonize_Calc = False when,
Act_Disp_Range_Contract_Fault = False
Act_Disp_Range_Expand_Fault = True
Act_Disp_Range_Void_Fault = False
Contract_Stop_Collection_Complete = True
Expand_Stop_Collection_Complete = False
Void_Collection_Complete = True
for LRU_1.</t>
  </si>
  <si>
    <t>Act_Disp_Range_Contract_Fault = False
Act_Disp_Range_Expand_Fault = True
Act_Disp_Range_Void_Fault = False
Contract_Stop_Collection_Complete = True
Expand_Stop_Collection_Complete = False
Void_Collection_Complete = True</t>
  </si>
  <si>
    <t>STEP 16:
Verifies that in Harmonizing Mode the LRU Software set Primary_Harmonize_Calc = False when,
Act_Disp_Range_Contract_Fault = False
Act_Disp_Range_Expand_Fault = False
Act_Disp_Range_Void_Fault = True
Contract_Stop_Collection_Complete = True
Expand_Stop_Collection_Complete = True
Void_Collection_Complete = False
for LRU_1.</t>
  </si>
  <si>
    <t>Act_Disp_Range_Contract_Fault = False
Act_Disp_Range_Expand_Fault = False
Act_Disp_Range_Void_Fault = True
Contract_Stop_Collection_Complete = True
Expand_Stop_Collection_Complete = True
Void_Collection_Complete = False</t>
  </si>
  <si>
    <t>STEP 17:
Verifies that in Harmonizing Mode the LRU Software doesn't set Spoiler_Harmonize_Calc = True when,
Act_Disp_Range_Contract_Fault = False
Act_Disp_Range_Expand_Fault = False
Contract_Stop_Collection_Complete = True
Expand_Stop_Collection_Complete = True
for LRU_1.</t>
  </si>
  <si>
    <t>Act_Disp_Range_Contract_Fault = False
Act_Disp_Range_Expand_Fault = False
Contract_Stop_Collection_Complete = True
Expand_Stop_Collection_Complete = True</t>
  </si>
  <si>
    <t>Verifies the LRU software configured as Aileron Harmonizeht initialize the signals listed below when IVT_Mode_ModeLgc is True AND Harmonizing_Active_STL transitions to True:
Contract_Stop_Collection_Complete = False
Expand_Stop_Collection_Complete = False
Void_Collection_Complete = False
Harmonizing_Complete = False
Harmonizing_Failed = False
Act_Disp_Range_Contract_Fault = False
Act_Disp_Range_Expand_Fault = False
Act_Disp_Range_Void_Fault = False
(MCDC Achieved: T, T-&gt; T)</t>
  </si>
  <si>
    <t xml:space="preserve">LRU to be configured as Aileron Harmonizeht.
FLIGHT_MODE
Contract_Stop_Collection_Complete = True
Expand_Stop_Collection_Complete = True
Void_Collection_Complete = True
Harmonizing_Complete = True
Harmonizing_Failed = True
Act_Disp_Range_Contract_Fault = True
Act_Disp_Range_Expand_Fault = True
Act_Disp_Range_Void_Fault = True
</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</si>
  <si>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LRU_2.</t>
  </si>
  <si>
    <t>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LRU_2.</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</si>
  <si>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LRU_2.</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</si>
  <si>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LRU_2.</t>
  </si>
  <si>
    <t>STEP 14a and 14b:
Verifies that in Harmonizing Mode the LRU Software transmit the below on STL_Bus when Act_Disp_Range_Void_Fault = False,
IVT_Receipt_Envelope = 0x0017
IVT_Receipt_Content: Void_Collection_Complete (IVT 2) = True
IVT_Receipt_Content: Harmonizing_Failed (IVT 4) = False
for LRU_2.</t>
  </si>
  <si>
    <t>STEP 14a and 14b:
Verifies that in Harmonizing Mode the LRU Software transmit the below on STL_Bus when Act_Disp_Range_Void_Fault = True,
IVT_Receipt_Envelope = 0x0017
IVT_Receipt_Content: Void_Collection_Complete (IVT 2) = True
IVT_Receipt_Content: Harmonizing_Failed (IVT 4) = True
for LRU_2.</t>
  </si>
  <si>
    <t>STEP 16:
Verifies that in Harmonizing Mode the LRU Software set Primary_Harmonize_Calc = True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True (Condition = True)
for LRU_2.
(MCDC Achieved: T, T, T, T, T, T -&gt; T)</t>
  </si>
  <si>
    <t>STEP 16:
Verifies that in Harmonizing Mode the LRU Software set Primary_Harmonize_Calc = False when,
Act_Disp_Range_Contract_Fault = True (Condition = False)
Act_Disp_Range_Expand_Fault = False (Condition = True)
Act_Disp_Range_Void_Fault = False (Condition = True)
Contract_Stop_Collection_Complete = True (Condition = True)
Expand_Stop_Collection_Complete = True (Condition = True)
Void_Collection_Complete = True (Condition = True)
for LRU_2.
(MCDC Achieved: F, T, T, T, T, T -&gt; F)</t>
  </si>
  <si>
    <t>STEP 16:
Verifies that in Harmonizing Mode the LRU Software set Primary_Harmonize_Calc = False when,
Act_Disp_Range_Contract_Fault = False (Condition = True)
Act_Disp_Range_Expand_Fault = True (Condition = False)
Act_Disp_Range_Void_Fault = False (Condition = True)
Contract_Stop_Collection_Complete = True (Condition = True)
Expand_Stop_Collection_Complete = True (Condition = True)
Void_Collection_Complete = True (Condition = True)
for LRU_2.
(MCDC Achieved: T, F, T, T, T, T -&gt; F)</t>
  </si>
  <si>
    <t>STEP 16:
Verifies that in Harmonizing Mode the LRU Software set Primary_Harmonize_Calc = False when,
Act_Disp_Range_Contract_Fault = False (Condition = True)
Act_Disp_Range_Expand_Fault = False (Condition = True)
Act_Disp_Range_Void_Fault = True (Condition = False)
Contract_Stop_Collection_Complete = True (Condition = True)
Expand_Stop_Collection_Complete = True (Condition = True)
Void_Collection_Complete = True (Condition = True)
for LRU_2.
(MCDC Achieved: T, T, F, T,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</si>
  <si>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False (Condition = False)
Expand_Stop_Collection_Complete = True (Condition = True)
Void_Collection_Complete = True (Condition = True)
for LRU_2.
(MCDC Achieved: T, T, T, F,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</si>
  <si>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False (Condition = False)
Void_Collection_Complete = True (Condition = True)
for LRU_2.
(MCDC Achieved: T, T, T, T, F,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</si>
  <si>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False (Condition = False)
for LRU_2.
(MCDC Achieved: T, T, T, T, T, F -&gt; F)</t>
  </si>
  <si>
    <t>STEP 16:
Verifies that in Harmonizing Mode the LRU Software set Primary_Harmonize_Calc = False when,
Act_Disp_Range_Contract_Fault = True
Act_Disp_Range_Expand_Fault = False
Act_Disp_Range_Void_Fault = False
Contract_Stop_Collection_Complete = False
Expand_Stop_Collection_Complete = True
Void_Collection_Complete = True
for LRU_2.</t>
  </si>
  <si>
    <t>STEP 16:
Verifies that in Harmonizing Mode the LRU Software set Primary_Harmonize_Calc = False when,
Act_Disp_Range_Contract_Fault = False
Act_Disp_Range_Expand_Fault = True
Act_Disp_Range_Void_Fault = False
Contract_Stop_Collection_Complete = True
Expand_Stop_Collection_Complete = False
Void_Collection_Complete = True
for LRU_2.</t>
  </si>
  <si>
    <t>STEP 16:
Verifies that in Harmonizing Mode the LRU Software set Primary_Harmonize_Calc = False when,
Act_Disp_Range_Contract_Fault = False
Act_Disp_Range_Expand_Fault = False
Act_Disp_Range_Void_Fault = True
Contract_Stop_Collection_Complete = True
Expand_Stop_Collection_Complete = True
Void_Collection_Complete = False
for LRU_2.</t>
  </si>
  <si>
    <t>Verifies the LRU software configured as Elevator Left initialize the signals listed below when IVT_Mode_ModeLgc is True AND Harmonizing_Active_STL transitions to True:
Contract_Stop_Collection_Complete = False
Expand_Stop_Collection_Complete = False
Void_Collection_Complete = False
Harmonizing_Complete = False
Harmonizing_Failed = False
Act_Disp_Range_Contract_Fault = False
Act_Disp_Range_Expand_Fault = False
Act_Disp_Range_Void_Fault = False
(MCDC Achieved: T, T-&gt; T)</t>
  </si>
  <si>
    <t xml:space="preserve">LRU to be configured as Elevator Left.
FLIGHT_MODE
Contract_Stop_Collection_Complete = True
Expand_Stop_Collection_Complete = True
Void_Collection_Complete = True
Harmonizing_Complete = True
Harmonizing_Failed = True
Act_Disp_Range_Contract_Fault = True
Act_Disp_Range_Expand_Fault = True
Act_Disp_Range_Void_Fault = True
</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</si>
  <si>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LRU_5.</t>
  </si>
  <si>
    <t>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LRU_5.</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</si>
  <si>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LRU_5.</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</si>
  <si>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LRU_5.</t>
  </si>
  <si>
    <t>STEP 14a and 14b:
Verifies that in Harmonizing Mode the LRU Software transmit the below on STL_Bus when Act_Disp_Range_Void_Fault = False,
IVT_Receipt_Envelope = 0x0017
IVT_Receipt_Content: Void_Collection_Complete (IVT 2) = True
IVT_Receipt_Content: Harmonizing_Failed (IVT 4) = False
for LRU_5.</t>
  </si>
  <si>
    <t>STEP 14a and 14b:
Verifies that in Harmonizing Mode the LRU Software transmit the below on STL_Bus when Act_Disp_Range_Void_Fault = True,
IVT_Receipt_Envelope = 0x0017
IVT_Receipt_Content: Void_Collection_Complete (IVT 2) = True
IVT_Receipt_Content: Harmonizing_Failed (IVT 4) = True
for LRU_5.</t>
  </si>
  <si>
    <t>STEP 16:
Verifies that in Harmonizing Mode the LRU Software set Primary_Harmonize_Calc = True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True (Condition = True)
for LRU_5.
(MCDC Achieved: T, T, T, T, T, T -&gt; T)</t>
  </si>
  <si>
    <t>STEP 16:
Verifies that in Harmonizing Mode the LRU Software set Primary_Harmonize_Calc = False when,
Act_Disp_Range_Contract_Fault = True (Condition = False)
Act_Disp_Range_Expand_Fault = False (Condition = True)
Act_Disp_Range_Void_Fault = False (Condition = True)
Contract_Stop_Collection_Complete = True (Condition = True)
Expand_Stop_Collection_Complete = True (Condition = True)
Void_Collection_Complete = True (Condition = True)
for LRU_5.
(MCDC Achieved: F, T, T, T, T, T -&gt; F)</t>
  </si>
  <si>
    <t>STEP 16:
Verifies that in Harmonizing Mode the LRU Software set Primary_Harmonize_Calc = False when,
Act_Disp_Range_Contract_Fault = False (Condition = True)
Act_Disp_Range_Expand_Fault = True (Condition = False)
Act_Disp_Range_Void_Fault = False (Condition = True)
Contract_Stop_Collection_Complete = True (Condition = True)
Expand_Stop_Collection_Complete = True (Condition = True)
Void_Collection_Complete = True (Condition = True)
for LRU_5.
(MCDC Achieved: T, F, T, T, T, T -&gt; F)</t>
  </si>
  <si>
    <t>STEP 16:
Verifies that in Harmonizing Mode the LRU Software set Primary_Harmonize_Calc = False when,
Act_Disp_Range_Contract_Fault = False (Condition = True)
Act_Disp_Range_Expand_Fault = False (Condition = True)
Act_Disp_Range_Void_Fault = True (Condition = False)
Contract_Stop_Collection_Complete = True (Condition = True)
Expand_Stop_Collection_Complete = True (Condition = True)
Void_Collection_Complete = True (Condition = True)
for LRU_5.
(MCDC Achieved: T, T, F, T,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</si>
  <si>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False (Condition = False)
Expand_Stop_Collection_Complete = True (Condition = True)
Void_Collection_Complete = True (Condition = True)
for LRU_5.
(MCDC Achieved: T, T, T, F,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</si>
  <si>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False (Condition = False)
Void_Collection_Complete = True (Condition = True)
for LRU_5.
(MCDC Achieved: T, T, T, T, F,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</si>
  <si>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False (Condition = False)
for LRU_5.
(MCDC Achieved: T, T, T, T, T, F -&gt; F)</t>
  </si>
  <si>
    <t>STEP 16:
Verifies that in Harmonizing Mode the LRU Software set Primary_Harmonize_Calc = False when,
Act_Disp_Range_Contract_Fault = True
Act_Disp_Range_Expand_Fault = False
Act_Disp_Range_Void_Fault = False
Contract_Stop_Collection_Complete = False
Expand_Stop_Collection_Complete = True
Void_Collection_Complete = True
for LRU_5.</t>
  </si>
  <si>
    <t>STEP 16:
Verifies that in Harmonizing Mode the LRU Software set Primary_Harmonize_Calc = False when,
Act_Disp_Range_Contract_Fault = False
Act_Disp_Range_Expand_Fault = True
Act_Disp_Range_Void_Fault = False
Contract_Stop_Collection_Complete = True
Expand_Stop_Collection_Complete = False
Void_Collection_Complete = True
for LRU_5.</t>
  </si>
  <si>
    <t>STEP 16:
Verifies that in Harmonizing Mode the LRU Software set Primary_Harmonize_Calc = False when,
Act_Disp_Range_Contract_Fault = False
Act_Disp_Range_Expand_Fault = False
Act_Disp_Range_Void_Fault = True
Contract_Stop_Collection_Complete = True
Expand_Stop_Collection_Complete = True
Void_Collection_Complete = False
for LRU_5.</t>
  </si>
  <si>
    <t>Verifies the LRU software configured as Elevator Harmonizeht initialize the signals listed below when IVT_Mode_ModeLgc is True AND Harmonizing_Active_STL transitions to True:
Contract_Stop_Collection_Complete = False
Expand_Stop_Collection_Complete = False
Void_Collection_Complete = False
Harmonizing_Complete = False
Harmonizing_Failed = False
Act_Disp_Range_Contract_Fault = False
Act_Disp_Range_Expand_Fault = False
Act_Disp_Range_Void_Fault = False
(MCDC Achieved: T, T-&gt; T)</t>
  </si>
  <si>
    <t xml:space="preserve">LRU to be configured as Elevator Harmonizeht.
FLIGHT_MODE
Contract_Stop_Collection_Complete = True
Expand_Stop_Collection_Complete = True
Void_Collection_Complete = True
Harmonizing_Complete = True
Harmonizing_Failed = True
Act_Disp_Range_Contract_Fault = True
Act_Disp_Range_Expand_Fault = True
Act_Disp_Range_Void_Fault = True
</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</si>
  <si>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LRU_6.</t>
  </si>
  <si>
    <t>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LRU_6.</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</si>
  <si>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LRU_6.</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</si>
  <si>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LRU_6.</t>
  </si>
  <si>
    <t>STEP 14a and 14b:
Verifies that in Harmonizing Mode the LRU Software transmit the below on STL_Bus when Act_Disp_Range_Void_Fault = False,
IVT_Receipt_Envelope = 0x0017
IVT_Receipt_Content: Void_Collection_Complete (IVT 2) = True
IVT_Receipt_Content: Harmonizing_Failed (IVT 4) = False
for LRU_6.</t>
  </si>
  <si>
    <t>STEP 14a and 14b:
Verifies that in Harmonizing Mode the LRU Software transmit the below on STL_Bus when Act_Disp_Range_Void_Fault = True,
IVT_Receipt_Envelope = 0x0017
IVT_Receipt_Content: Void_Collection_Complete (IVT 2) = True
IVT_Receipt_Content: Harmonizing_Failed (IVT 4) = True
for LRU_6.</t>
  </si>
  <si>
    <t>STEP 16:
Verifies that in Harmonizing Mode the LRU Software set Primary_Harmonize_Calc = True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True (Condition = True)
for LRU_6.
(MCDC Achieved: T, T, T, T, T, T -&gt; T)</t>
  </si>
  <si>
    <t>STEP 16:
Verifies that in Harmonizing Mode the LRU Software set Primary_Harmonize_Calc = False when,
Act_Disp_Range_Contract_Fault = True (Condition = False)
Act_Disp_Range_Expand_Fault = False (Condition = True)
Act_Disp_Range_Void_Fault = False (Condition = True)
Contract_Stop_Collection_Complete = True (Condition = True)
Expand_Stop_Collection_Complete = True (Condition = True)
Void_Collection_Complete = True (Condition = True)
for LRU_6.
(MCDC Achieved: F, T, T, T, T, T -&gt; F)</t>
  </si>
  <si>
    <t>STEP 16:
Verifies that in Harmonizing Mode the LRU Software set Primary_Harmonize_Calc = False when,
Act_Disp_Range_Contract_Fault = False (Condition = True)
Act_Disp_Range_Expand_Fault = True (Condition = False)
Act_Disp_Range_Void_Fault = False (Condition = True)
Contract_Stop_Collection_Complete = True (Condition = True)
Expand_Stop_Collection_Complete = True (Condition = True)
Void_Collection_Complete = True (Condition = True)
for LRU_6.
(MCDC Achieved: T, F, T, T, T, T -&gt; F)</t>
  </si>
  <si>
    <t>STEP 16:
Verifies that in Harmonizing Mode the LRU Software set Primary_Harmonize_Calc = False when,
Act_Disp_Range_Contract_Fault = False (Condition = True)
Act_Disp_Range_Expand_Fault = False (Condition = True)
Act_Disp_Range_Void_Fault = True (Condition = False)
Contract_Stop_Collection_Complete = True (Condition = True)
Expand_Stop_Collection_Complete = True (Condition = True)
Void_Collection_Complete = True (Condition = True)
for LRU_6.
(MCDC Achieved: T, T, F, T,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</si>
  <si>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False (Condition = False)
Expand_Stop_Collection_Complete = True (Condition = True)
Void_Collection_Complete = True (Condition = True)
for LRU_6.
(MCDC Achieved: T, T, T, F,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</si>
  <si>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False (Condition = False)
Void_Collection_Complete = True (Condition = True)
for LRU_6.
(MCDC Achieved: T, T, T, T, F,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</si>
  <si>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False (Condition = False)
for LRU_6.
(MCDC Achieved: T, T, T, T, T, F -&gt; F)</t>
  </si>
  <si>
    <t>STEP 16:
Verifies that in Harmonizing Mode the LRU Software set Primary_Harmonize_Calc = False when,
Act_Disp_Range_Contract_Fault = True
Act_Disp_Range_Expand_Fault = False
Act_Disp_Range_Void_Fault = False
Contract_Stop_Collection_Complete = False
Expand_Stop_Collection_Complete = True
Void_Collection_Complete = True
for LRU_6.</t>
  </si>
  <si>
    <t>STEP 16:
Verifies that in Harmonizing Mode the LRU Software set Primary_Harmonize_Calc = False when,
Act_Disp_Range_Contract_Fault = False
Act_Disp_Range_Expand_Fault = True
Act_Disp_Range_Void_Fault = False
Contract_Stop_Collection_Complete = True
Expand_Stop_Collection_Complete = False
Void_Collection_Complete = True
for LRU_6.</t>
  </si>
  <si>
    <t>STEP 16:
Verifies that in Harmonizing Mode the LRU Software set Primary_Harmonize_Calc = False when,
Act_Disp_Range_Contract_Fault = False
Act_Disp_Range_Expand_Fault = False
Act_Disp_Range_Void_Fault = True
Contract_Stop_Collection_Complete = True
Expand_Stop_Collection_Complete = True
Void_Collection_Complete = False
for LRU_6.</t>
  </si>
  <si>
    <t>Verifies the LRU software configured as Rudder initialize the signals listed below when IVT_Mode_ModeLgc is True AND Harmonizing_Active_STL transitions to True:
Contract_Stop_Collection_Complete = False
Expand_Stop_Collection_Complete = False
Void_Collection_Complete = False
Harmonizing_Complete = False
Harmonizing_Failed = False
Act_Disp_Range_Contract_Fault = False
Act_Disp_Range_Expand_Fault = False
Act_Disp_Range_Void_Fault = False
(MCDC Achieved: T, T-&gt; T)</t>
  </si>
  <si>
    <t xml:space="preserve">LRU to be configured as Rudder.
FLIGHT_MODE
Contract_Stop_Collection_Complete = True
Expand_Stop_Collection_Complete = True
Void_Collection_Complete = True
Harmonizing_Complete = True
Harmonizing_Failed = True
Act_Disp_Range_Contract_Fault = True
Act_Disp_Range_Expand_Fault = True
Act_Disp_Range_Void_Fault = True
</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</si>
  <si>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LRU_7.</t>
  </si>
  <si>
    <t>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LRU_7.</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</si>
  <si>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LRU_7.</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</si>
  <si>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LRU_7.</t>
  </si>
  <si>
    <t>STEP 14a and 14b:
Verifies that in Harmonizing Mode the LRU Software transmit the below on STL_Bus when Act_Disp_Range_Void_Fault = False,
IVT_Receipt_Envelope = 0x0017
IVT_Receipt_Content: Void_Collection_Complete (IVT 2) = True
IVT_Receipt_Content: Harmonizing_Failed (IVT 4) = False
for LRU_7.</t>
  </si>
  <si>
    <t>STEP 14a and 14b:
Verifies that in Harmonizing Mode the LRU Software transmit the below on STL_Bus when Act_Disp_Range_Void_Fault = True,
IVT_Receipt_Envelope = 0x0017
IVT_Receipt_Content: Void_Collection_Complete (IVT 2) = True
IVT_Receipt_Content: Harmonizing_Failed (IVT 4) = True
for LRU_7.</t>
  </si>
  <si>
    <t>STEP 16:
Verifies that in Harmonizing Mode the LRU Software set Primary_Harmonize_Calc = True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True (Condition = True)
for LRU_7.
(MCDC Achieved: T, T, T, T, T, T -&gt; T)</t>
  </si>
  <si>
    <t>STEP 16:
Verifies that in Harmonizing Mode the LRU Software set Primary_Harmonize_Calc = False when,
Act_Disp_Range_Contract_Fault = True (Condition = False)
Act_Disp_Range_Expand_Fault = False (Condition = True)
Act_Disp_Range_Void_Fault = False (Condition = True)
Contract_Stop_Collection_Complete = True (Condition = True)
Expand_Stop_Collection_Complete = True (Condition = True)
Void_Collection_Complete = True (Condition = True)
for LRU_7.
(MCDC Achieved: F, T, T, T, T, T -&gt; F)</t>
  </si>
  <si>
    <t>STEP 16:
Verifies that in Harmonizing Mode the LRU Software set Primary_Harmonize_Calc = False when,
Act_Disp_Range_Contract_Fault = False (Condition = True)
Act_Disp_Range_Expand_Fault = True (Condition = False)
Act_Disp_Range_Void_Fault = False (Condition = True)
Contract_Stop_Collection_Complete = True (Condition = True)
Expand_Stop_Collection_Complete = True (Condition = True)
Void_Collection_Complete = True (Condition = True)
for LRU_7.
(MCDC Achieved: T, F, T, T, T, T -&gt; F)</t>
  </si>
  <si>
    <t>STEP 16:
Verifies that in Harmonizing Mode the LRU Software set Primary_Harmonize_Calc = False when,
Act_Disp_Range_Contract_Fault = False (Condition = True)
Act_Disp_Range_Expand_Fault = False (Condition = True)
Act_Disp_Range_Void_Fault = True (Condition = False)
Contract_Stop_Collection_Complete = True (Condition = True)
Expand_Stop_Collection_Complete = True (Condition = True)
Void_Collection_Complete = True (Condition = True)
for LRU_7.
(MCDC Achieved: T, T, F, T,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</si>
  <si>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False (Condition = False)
Expand_Stop_Collection_Complete = True (Condition = True)
Void_Collection_Complete = True (Condition = True)
for LRU_7.
(MCDC Achieved: T, T, T, F,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</si>
  <si>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False (Condition = False)
Void_Collection_Complete = True (Condition = True)
for LRU_7.
(MCDC Achieved: T, T, T, T, F,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</si>
  <si>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False (Condition = False)
for LRU_7.
(MCDC Achieved: T, T, T, T, T, F -&gt; F)</t>
  </si>
  <si>
    <t>STEP 16:
Verifies that in Harmonizing Mode the LRU Software set Primary_Harmonize_Calc = False when,
Act_Disp_Range_Contract_Fault = True
Act_Disp_Range_Expand_Fault = False
Act_Disp_Range_Void_Fault = False
Contract_Stop_Collection_Complete = False
Expand_Stop_Collection_Complete = True
Void_Collection_Complete = True
for LRU_7.</t>
  </si>
  <si>
    <t>STEP 16:
Verifies that in Harmonizing Mode the LRU Software set Primary_Harmonize_Calc = False when,
Act_Disp_Range_Contract_Fault = False
Act_Disp_Range_Expand_Fault = True
Act_Disp_Range_Void_Fault = False
Contract_Stop_Collection_Complete = True
Expand_Stop_Collection_Complete = False
Void_Collection_Complete = True
for LRU_7.</t>
  </si>
  <si>
    <t>STEP 16:
Verifies that in Harmonizing Mode the LRU Software set Primary_Harmonize_Calc = False when,
Act_Disp_Range_Contract_Fault = False
Act_Disp_Range_Expand_Fault = False
Act_Disp_Range_Void_Fault = True
Contract_Stop_Collection_Complete = True
Expand_Stop_Collection_Complete = True
Void_Collection_Complete = False
for LRU_7.</t>
  </si>
  <si>
    <t>Verifies the LRU software configured as Spoiler Left initialize the signals listed below when IVT_Mode_ModeLgc is True AND Harmonizing_Active_STL transitions to True:
Contract_Stop_Collection_Complete = False
Expand_Stop_Collection_Complete = False
Harmonizing_Complete = False
Harmonizing_Failed = False
Act_Disp_Range_Contract_Fault = False
Act_Disp_Range_Expand_Fault = False
(MCDC Achieved: T, T-&gt; T)</t>
  </si>
  <si>
    <t xml:space="preserve">LRU to be configured as Spoiler Left.
FLIGHT_MODE
Contract_Stop_Collection_Complete = True
Expand_Stop_Collection_Complete = True
Harmonizing_Complete = True
Harmonizing_Failed = True
Act_Disp_Range_Contract_Fault = True
Act_Disp_Range_Expand_Fault = True
</t>
  </si>
  <si>
    <t xml:space="preserve">Contract_Stop_Collection_Complete = False
Expand_Stop_Collection_Complete = False
Harmonizing_Complete = False
Harmonizing_Failed = False
Act_Disp_Range_Contract_Fault = False
Act_Disp_Range_Expand_Fault = False
</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</si>
  <si>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LRU_3.</t>
  </si>
  <si>
    <t>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LRU_3.</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</si>
  <si>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LRU_3.</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</si>
  <si>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LRU_3.</t>
  </si>
  <si>
    <t>STEP 17:
Verifies that in Harmonizing Mode the LRU Software set Spoiler_Harmonize_Calc = True when,
Act_Disp_Range_Contract_Fault = False (Condition = True)
Act_Disp_Range_Expand_Fault = False (Condition = True)
Contract_Stop_Collection_Complete = True (Condition = True)
Expand_Stop_Collection_Complete = True (Condition = True)
for LRU_3.
(MCDC Achieved: T, T, T, T -&gt; T)</t>
  </si>
  <si>
    <t>STEP 17:
Verifies that in Harmonizing Mode the LRU Software set Spoiler_Harmonize_Calc = False when,
Act_Disp_Range_Contract_Fault = True (Condition = False)
Act_Disp_Range_Expand_Fault = False (Condition = True)
Contract_Stop_Collection_Complete = True (Condition = True)
Expand_Stop_Collection_Complete = True (Condition = True)
for LRU_3.
(MCDC Achieved: F, T, T, T -&gt; F)</t>
  </si>
  <si>
    <t>Act_Disp_Range_Contract_Fault = True
Act_Disp_Range_Expand_Fault = False
Contract_Stop_Collection_Complete = True
Expand_Stop_Collection_Complete = True</t>
  </si>
  <si>
    <t>This particular MCDC Condition for LRUSWRS-1001, STEP 17 CANNOT be achieved.
As per LRUSWRS-1001, STEP 10,
Expand_Stop_Collection_Complete will be set to True only when Act_Disp_Range_Expand_Fault is False.
So, Expand_Stop_Collection_Complete = True when Act_Disp_Range_Expand_Fault = True specified in this test case cannot be achieved.</t>
  </si>
  <si>
    <t>STEP 17:
Verifies that in Harmonizing Mode the LRU Software set Spoiler_Harmonize_Calc = False when,
Act_Disp_Range_Contract_Fault = False (Condition = True)
Act_Disp_Range_Expand_Fault = True (Condition = False)
Contract_Stop_Collection_Complete = True (Condition = True)
Expand_Stop_Collection_Complete = True (Condition = True)
for LRU_3.
(MCDC Achieved: T, F, T, T -&gt; F)</t>
  </si>
  <si>
    <t>Act_Disp_Range_Contract_Fault = False
Act_Disp_Range_Expand_Fault = True
Contract_Stop_Collection_Complete = True
Expand_Stop_Collection_Complete = True</t>
  </si>
  <si>
    <t>This particular MCDC Condition for LRUSWRS-1001, STEP 17 CANNOT be achieved.
As per LRUSWRS-1001, STEP 5,
Contract_Stop_Collection_Complete will be set to True only when Act_Disp_Range_Contract_Fault is False.
So, Contract_Stop_Collection_Complete = False when Act_Disp_Range_Contract_Fault = False specified in this test case cannot be achieved.</t>
  </si>
  <si>
    <t>STEP 17:
Verifies that in Harmonizing Mode the LRU Software set Spoiler_Harmonize_Calc = False when,
Act_Disp_Range_Contract_Fault = False (Condition = True)
Act_Disp_Range_Expand_Fault = False (Condition = True)
Contract_Stop_Collection_Complete = False (Condition = False)
Expand_Stop_Collection_Complete = True (Condition = True)
for LRU_3.
(MCDC Achieved: T, T, F, T -&gt; F)</t>
  </si>
  <si>
    <t>Act_Disp_Range_Contract_Fault = False
Act_Disp_Range_Expand_Fault = False
Contract_Stop_Collection_Complete = False
Expand_Stop_Collection_Complete = True</t>
  </si>
  <si>
    <t>This particular MCDC Condition for LRUSWRS-1001, STEP 17 CANNOT be achieved.
As per LRUSWRS-1001, STEP 10,
Expand_Stop_Collection_Complete will be set to True only when Act_Disp_Range_Expand_Fault is False.
So, Expand_Stop_Collection_Complete = False when Act_Disp_Range_Expand_Fault = False specified in this test case cannot be achieved.</t>
  </si>
  <si>
    <t>STEP 17:
Verifies that in Harmonizing Mode the LRU Software set Spoiler_Harmonize_Calc = False when,
Act_Disp_Range_Contract_Fault = False (Condition = True)
Act_Disp_Range_Expand_Fault = False (Condition = True)
Contract_Stop_Collection_Complete = True (Condition = True)
Expand_Stop_Collection_Complete = False (Condition = False)
for LRU_3.
(MCDC Achieved: T, T, T, F -&gt; F)</t>
  </si>
  <si>
    <t>Act_Disp_Range_Contract_Fault = False
Act_Disp_Range_Expand_Fault = False
Contract_Stop_Collection_Complete = True
Expand_Stop_Collection_Complete = False</t>
  </si>
  <si>
    <t>STEP 17:
Verifies that in Harmonizing Mode the LRU Software set Spoiler_Harmonize_Calc = False when,
Act_Disp_Range_Contract_Fault = True
Act_Disp_Range_Expand_Fault = False
Contract_Stop_Collection_Complete = False
Expand_Stop_Collection_Complete = True
for LRU_3.</t>
  </si>
  <si>
    <t>Act_Disp_Range_Contract_Fault = True
Act_Disp_Range_Expand_Fault = False
Contract_Stop_Collection_Complete = False
Expand_Stop_Collection_Complete = True</t>
  </si>
  <si>
    <t>STEP 17:
Verifies that in Harmonizing Mode the LRU Software set Spoiler_Harmonize_Calc = False when,
Act_Disp_Range_Contract_Fault = False
Act_Disp_Range_Expand_Fault = True
Contract_Stop_Collection_Complete = True
Expand_Stop_Collection_Complete = False
for LRU_3.</t>
  </si>
  <si>
    <t>Act_Disp_Range_Contract_Fault = False
Act_Disp_Range_Expand_Fault = True
Contract_Stop_Collection_Complete = True
Expand_Stop_Collection_Complete = False</t>
  </si>
  <si>
    <t>Verifies the LRU software configured as Spoiler Harmonizeht initialize the signals listed below when IVT_Mode_ModeLgc is True AND Harmonizing_Active_STL transitions to True:
Contract_Stop_Collection_Complete = False
Expand_Stop_Collection_Complete = False
Harmonizing_Complete = False
Harmonizing_Failed = False
Act_Disp_Range_Contract_Fault = False
Act_Disp_Range_Expand_Fault = False
(MCDC Achieved: T, T-&gt; T)</t>
  </si>
  <si>
    <t>LRU to be configured as Spoiler Harmonizeht.
FLIGHT_MODE
Contract_Stop_Collection_Complete = True
Expand_Stop_Collection_Complete = True
Harmonizing_Complete = True
Harmonizing_Failed = True
Act_Disp_Range_Contract_Fault = True
Act_Disp_Range_Expand_Fault = True</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</si>
  <si>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LRU_4.</t>
  </si>
  <si>
    <t>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LRU_4.</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</si>
  <si>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LRU_4.</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</si>
  <si>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LRU_4.</t>
  </si>
  <si>
    <t>STEP 17:
Verifies that in Harmonizing Mode the LRU Software set Spoiler_Harmonize_Calc = True when,
Act_Disp_Range_Contract_Fault = False (Condition = True)
Act_Disp_Range_Expand_Fault = False (Condition = True)
Contract_Stop_Collection_Complete = True (Condition = True)
Expand_Stop_Collection_Complete = True (Condition = True)
for LRU_4.
(MCDC Achieved: T, T, T, T -&gt; T)</t>
  </si>
  <si>
    <t>STEP 17:
Verifies that in Harmonizing Mode the LRU Software set Spoiler_Harmonize_Calc = False when,
Act_Disp_Range_Contract_Fault = True (Condition = False)
Act_Disp_Range_Expand_Fault = False (Condition = True)
Contract_Stop_Collection_Complete = True (Condition = True)
Expand_Stop_Collection_Complete = True (Condition = True)
for LRU_4.
(MCDC Achieved: F, T, T, T -&gt; F)</t>
  </si>
  <si>
    <t>STEP 17:
Verifies that in Harmonizing Mode the LRU Software set Spoiler_Harmonize_Calc = False when,
Act_Disp_Range_Contract_Fault = False (Condition = True)
Act_Disp_Range_Expand_Fault = True (Condition = False)
Contract_Stop_Collection_Complete = True (Condition = True)
Expand_Stop_Collection_Complete = True (Condition = True)
for LRU_4.
(MCDC Achieved: T, F, T, T -&gt; F)</t>
  </si>
  <si>
    <t>STEP 17:
Verifies that in Harmonizing Mode the LRU Software set Spoiler_Harmonize_Calc = False when,
Act_Disp_Range_Contract_Fault = False (Condition = True)
Act_Disp_Range_Expand_Fault = False (Condition = True)
Contract_Stop_Collection_Complete = False (Condition = False)
Expand_Stop_Collection_Complete = True (Condition = True)
for LRU_4.
(MCDC Achieved: T, T, F, T -&gt; F)</t>
  </si>
  <si>
    <t>STEP 17:
Verifies that in Harmonizing Mode the LRU Software set Spoiler_Harmonize_Calc = False when,
Act_Disp_Range_Contract_Fault = False (Condition = True)
Act_Disp_Range_Expand_Fault = False (Condition = True)
Contract_Stop_Collection_Complete = True (Condition = True)
Expand_Stop_Collection_Complete = False (Condition = False)
for LRU_4.
(MCDC Achieved: T, T, T, F -&gt; F)</t>
  </si>
  <si>
    <t>STEP 17:
Verifies that in Harmonizing Mode the LRU Software set Spoiler_Harmonize_Calc = False when,
Act_Disp_Range_Contract_Fault = True
Act_Disp_Range_Expand_Fault = False
Contract_Stop_Collection_Complete = False
Expand_Stop_Collection_Complete = True
for LRU_4.</t>
  </si>
  <si>
    <t>STEP 17:
Verifies that in Harmonizing Mode the LRU Software set Spoiler_Harmonize_Calc = False when,
Act_Disp_Range_Contract_Fault = False
Act_Disp_Range_Expand_Fault = True
Contract_Stop_Collection_Complete = True
Expand_Stop_Collection_Complete = False
for LRU_4.</t>
  </si>
  <si>
    <t>STEP 2:
Verifies the LRU software computes Act_Disp_Raw_Avg_Contract = 0.173 and Contract_Stop_Collection_Complete = True when,
Average of Act_Disp_Raw from STEP 1 = 0.0
Harmonize_Offset_Default = 0.173
Harmonize_SFC_Default = 1.0
for LRU_1 Atype-2.</t>
  </si>
  <si>
    <t>Act_Disp_Raw_Avg_Contract = 0.173
Contract_Stop_Collection_Complete = True</t>
  </si>
  <si>
    <t>TEST OUTLINE:
1) Set LRU Configuration as per Initial Conditions.
2) Initiate and Complete Electronic Harmonizing for Aileron using TCS script, Sample_1_Aileron.tcs.
3) Average of Act_Disp_Raw as per inputs. Ensure Harmonize_Offset_Default and Harmonize_SFC_Default are as per inputs
4) Verify Act_Disp_Raw_Avg_Contract and Contract_Stop_Collection_Complete as per expected results.</t>
  </si>
  <si>
    <t>STEP 2:
Verifies the LRU software computes Act_Disp_Raw_Avg_Contract = 10.173 and Contract_Stop_Collection_Complete = True when,
Average of Act_Disp_Raw from STEP 1 = 10.0
Harmonize_Offset_Default = 0.173
Harmonize_SFC_Default = 1.0
for LRU_1 Atype-2.</t>
  </si>
  <si>
    <t>Act_Disp_Raw_Avg_Contract = 10.173
Contract_Stop_Collection_Complete = True</t>
  </si>
  <si>
    <t>STEP 7:
Verifies the LRU software computes Act_Disp_Raw_Avg_Expand = 0.173 and Expand_Stop_Collection_Complete = True when,
Average of Act_Disp_Raw from STEP 6 = 0.0
Harmonize_Offset_Default = 0.173
Harmonize_SFC_Default = 1.0
for LRU_1 Atype-2.</t>
  </si>
  <si>
    <t>Act_Disp_Raw_Avg_Expand = 0.173
Expand_Stop_Collection_Complete = True</t>
  </si>
  <si>
    <t>TEST OUTLINE:
1) Set LRU Configuration as per Initial Conditions.
2) Initiate and Complete Electronic Harmonizing for Aileron using TCS script, Sample_1_Aileron.tcs.
3) Average of Act_Disp_Raw as per inputs. Ensure Harmonize_Offset_Default and Harmonize_SFC_Default are as per inputs
4) Verify Act_Disp_Raw_Avg_Expand and Expand_Stop_Collection_Complete as per expected results.</t>
  </si>
  <si>
    <t>STEP 7:
Verifies the LRU software computes Act_Disp_Raw_Avg_Expand = 10.173 and Expand_Stop_Collection_Complete = True when,
Average of Act_Disp_Raw from STEP 6 = 10.0
Harmonize_Offset_Default = 0.173
Harmonize_SFC_Default = 1.0
for LRU_1 Atype-2.</t>
  </si>
  <si>
    <t>Act_Disp_Raw_Avg_Expand = 10.173
Expand_Stop_Collection_Complete = True</t>
  </si>
  <si>
    <t>STEP 12:
Verifies the LRU software computes Act_Disp_Raw_Avg_Void = 0.173 and Void_Collection_Complete = True when,
Average of Act_Disp_Raw from STEP 11 = 0.0
Harmonize_Offset_Default = 0.173
Harmonize_SFC_Default = 1.0
for LRU_1 Atype-2.</t>
  </si>
  <si>
    <t>Act_Disp_Raw_Avg_Void = 0.173
Void_Collection_Complete = True</t>
  </si>
  <si>
    <t>TEST OUTLINE:
1) Set LRU Configuration as per Initial Conditions.
2) Initiate and Complete Electronic Harmonizing for Aileron using TCS script, Sample_1_Aileron.tcs.
3) Average of Act_Disp_Raw as per inputs. Ensure Harmonize_Offset_Default and Harmonize_SFC_Default are as per inputs
4) Verify Act_Disp_Raw_Avg_Void and Void_Stop_Collection_Complete as per expected results.</t>
  </si>
  <si>
    <t>STEP 12:
Verifies the LRU software computes Act_Disp_Raw_Avg_Void = 10.173 and Void_Collection_Complete = True when,
Average of Act_Disp_Raw from STEP 11 = 10.0
Harmonize_Offset_Default = 0.173
Harmonize_SFC_Default = 1.0
for LRU_1 Atype-2.</t>
  </si>
  <si>
    <t>Act_Disp_Raw_Avg_Void = 10.173
Void_Collection_Complete = True</t>
  </si>
  <si>
    <t>STEP 2:
Verifies the LRU software computes Act_Disp_Raw_Avg_Contract = 0.223 and Contract_Stop_Collection_Complete = True when,
Average of Act_Disp_Raw from STEP 1 = 0.0
Harmonize_Offset_Default = 0.223
Harmonize_SFC_Default = 1.0
for LRU_1 Atype-3.</t>
  </si>
  <si>
    <t>Act_Disp_Raw_Avg_Contract = 0.223
Contract_Stop_Collection_Complete = True</t>
  </si>
  <si>
    <t>STEP 2:
Verifies the LRU software computes Act_Disp_Raw_Avg_Contract = 10.223 and Contract_Stop_Collection_Complete = True when,
Average of Act_Disp_Raw from STEP 1 = 10.0
Harmonize_Offset_Default = 0.223
Harmonize_SFC_Default = 1.0
for LRU_1 Atype-3.</t>
  </si>
  <si>
    <t>Act_Disp_Raw_Avg_Contract = 10.223
Contract_Stop_Collection_Complete = True</t>
  </si>
  <si>
    <t>STEP 7:
Verifies the LRU software computes Act_Disp_Raw_Avg_Expand = 0.223 and Expand_Stop_Collection_Complete = True when,
Average of Act_Disp_Raw from STEP 6 = 0.0
Harmonize_Offset_Default = 0.223
Harmonize_SFC_Default = 1.0
for LRU_1 Atype-3.</t>
  </si>
  <si>
    <t>Act_Disp_Raw_Avg_Expand = 0.223
Expand_Stop_Collection_Complete = True</t>
  </si>
  <si>
    <t>STEP 7:
Verifies the LRU software computes Act_Disp_Raw_Avg_Expand = 10.223 and Expand_Stop_Collection_Complete = True when,
Average of Act_Disp_Raw from STEP 6 = 10.0
Harmonize_Offset_Default = 0.223
Harmonize_SFC_Default = 1.0
for LRU_1 Atype-3.</t>
  </si>
  <si>
    <t>Act_Disp_Raw_Avg_Expand = 10.223
Expand_Stop_Collection_Complete = True</t>
  </si>
  <si>
    <t>STEP 12:
Verifies the LRU software computes Act_Disp_Raw_Avg_Void = 0.223 and Void_Collection_Complete = True when,
Average of Act_Disp_Raw from STEP 11 = 0.0
Harmonize_Offset_Default = 0.223
Harmonize_SFC_Default = 1.0
for LRU_1 Atype-3.</t>
  </si>
  <si>
    <t>Act_Disp_Raw_Avg_Void = 0.223
Void_Collection_Complete = True</t>
  </si>
  <si>
    <t>STEP 12:
Verifies the LRU software computes Act_Disp_Raw_Avg_Void = 10.223 and Void_Collection_Complete = True when,
Average of Act_Disp_Raw from STEP 11 = 10.0
Harmonize_Offset_Default = 0.223
Harmonize_SFC_Default = 1.0
for LRU_1 Atype-3.</t>
  </si>
  <si>
    <t>Act_Disp_Raw_Avg_Void = 10.223
Void_Collection_Complete = True</t>
  </si>
  <si>
    <t>STEP 2:
Verifies the LRU software computes Act_Disp_Raw_Avg_Contract = 0.173 and Contract_Stop_Collection_Complete = True when,
Average of Act_Disp_Raw from STEP 1 = 0.0
Harmonize_Offset_Default = 0.173
Harmonize_SFC_Default = 1.0
for LRU_2 Atype-2.</t>
  </si>
  <si>
    <t>STEP 2:
Verifies the LRU software computes Act_Disp_Raw_Avg_Contract = 10.173 and Contract_Stop_Collection_Complete = True when,
Average of Act_Disp_Raw from STEP 1 = 10.0
Harmonize_Offset_Default = 0.173
Harmonize_SFC_Default = 1.0
for LRU_2 Atype-2.</t>
  </si>
  <si>
    <t>STEP 7:
Verifies the LRU software computes Act_Disp_Raw_Avg_Expand = 0.173 and Expand_Stop_Collection_Complete = True when,
Average of Act_Disp_Raw from STEP 6 = 0.0
Harmonize_Offset_Default = 0.173
Harmonize_SFC_Default = 1.0
for LRU_2 Atype-2.</t>
  </si>
  <si>
    <t>STEP 7:
Verifies the LRU software computes Act_Disp_Raw_Avg_Expand = 10.173 and Expand_Stop_Collection_Complete = True when,
Average of Act_Disp_Raw from STEP 6 = 10.0
Harmonize_Offset_Default = 0.173
Harmonize_SFC_Default = 1.0
for LRU_2 Atype-2.</t>
  </si>
  <si>
    <t>STEP 12:
Verifies the LRU software computes Act_Disp_Raw_Avg_Void = 0.173 and Void_Collection_Complete = True when,
Average of Act_Disp_Raw from STEP 11 = 0.0
Harmonize_Offset_Default = 0.173
Harmonize_SFC_Default = 1.0
for LRU_2 Atype-2.</t>
  </si>
  <si>
    <t>STEP 12:
Verifies the LRU software computes Act_Disp_Raw_Avg_Void = 10.173 and Void_Collection_Complete = True when,
Average of Act_Disp_Raw from STEP 11 = 10.0
Harmonize_Offset_Default = 0.173
Harmonize_SFC_Default = 1.0
for LRU_2 Atype-2.</t>
  </si>
  <si>
    <t>STEP 2:
Verifies the LRU software computes Act_Disp_Raw_Avg_Contract = 0.223 and Contract_Stop_Collection_Complete = True when,
Average of Act_Disp_Raw from STEP 1 = 0.0
Harmonize_Offset_Default = 0.223
Harmonize_SFC_Default = 1.0
for LRU_2 Atype-3.</t>
  </si>
  <si>
    <t>STEP 2:
Verifies the LRU software computes Act_Disp_Raw_Avg_Contract = 10.223 and Contract_Stop_Collection_Complete = True when,
Average of Act_Disp_Raw from STEP 1 = 10.0
Harmonize_Offset_Default = 0.223
Harmonize_SFC_Default = 1.0
for LRU_2 Atype-3.</t>
  </si>
  <si>
    <t>STEP 7:
Verifies the LRU software computes Act_Disp_Raw_Avg_Expand = 0.223 and Expand_Stop_Collection_Complete = True when,
Average of Act_Disp_Raw from STEP 6 = 0.0
Harmonize_Offset_Default = 0.223
Harmonize_SFC_Default = 1.0
for LRU_2 Atype-3.</t>
  </si>
  <si>
    <t>STEP 7:
Verifies the LRU software computes Act_Disp_Raw_Avg_Expand = 10.223 and Expand_Stop_Collection_Complete = True when,
Average of Act_Disp_Raw from STEP 6 = 10.0
Harmonize_Offset_Default = 0.223
Harmonize_SFC_Default = 1.0
for LRU_2 Atype-3.</t>
  </si>
  <si>
    <t>STEP 12:
Verifies the LRU software computes Act_Disp_Raw_Avg_Void = 0.223 and Void_Collection_Complete = True when,
Average of Act_Disp_Raw from STEP 11 = 0.0
Harmonize_Offset_Default = 0.223
Harmonize_SFC_Default = 1.0
for LRU_2 Atype-3.</t>
  </si>
  <si>
    <t>STEP 12:
Verifies the LRU software computes Act_Disp_Raw_Avg_Void = 10.223 and Void_Collection_Complete = True when,
Average of Act_Disp_Raw from STEP 11 = 10.0
Harmonize_Offset_Default = 0.223
Harmonize_SFC_Default = 1.0
for LRU_2 Atype-3.</t>
  </si>
  <si>
    <t>STEP 2:
Verifies the LRU software computes Act_Disp_Raw_Avg_Contract = 0.248 and Contract_Stop_Collection_Complete = True when,
Average of Act_Disp_Raw from STEP 1 = 0.0
Harmonize_Offset_Default = 0.248
Harmonize_SFC_Default = 1.0
for LRU_5 Atype-2.</t>
  </si>
  <si>
    <t>Act_Disp_Raw_Avg_Contract = 0.248
Contract_Stop_Collection_Complete = True</t>
  </si>
  <si>
    <t>TEST OUTLINE:
1) Set LRU Configuration as per Initial Conditions.
2) Initiate and Complete Electronic Harmonizing for Elevator using TCS script, Sample_1_Elevator.tcs.
3) Average of Act_Disp_Raw as per inputs. Ensure Harmonize_Offset_Default and Harmonize_SFC_Default are as per inputs
4) Verify Act_Disp_Raw_Avg_Contract and Contract_Stop_Collection_Complete as per expected results.</t>
  </si>
  <si>
    <t>STEP 2:
Verifies the LRU software computes Act_Disp_Raw_Avg_Contract = 10.248 and Contract_Stop_Collection_Complete = True when,
Average of Act_Disp_Raw from STEP 1 = 10.0
Harmonize_Offset_Default = 0.248
Harmonize_SFC_Default = 1.0
for LRU_5 Atype-2.</t>
  </si>
  <si>
    <t>Act_Disp_Raw_Avg_Contract = 10.248
Contract_Stop_Collection_Complete = True</t>
  </si>
  <si>
    <t>STEP 7:
Verifies the LRU software computes Act_Disp_Raw_Avg_Expand = 0.248 and Expand_Stop_Collection_Complete = True when,
Average of Act_Disp_Raw from STEP 6 = 0.0
Harmonize_Offset_Default = 0.248
Harmonize_SFC_Default = 1.0
for LRU_5 Atype-2.</t>
  </si>
  <si>
    <t>Act_Disp_Raw_Avg_Expand = 0.248
Expand_Stop_Collection_Complete = True</t>
  </si>
  <si>
    <t>TEST OUTLINE:
1) Set LRU Configuration as per Initial Conditions.
2) Initiate and Complete Electronic Harmonizing for Elevator using TCS script, Sample_1_Elevator.tcs.
3) Average of Act_Disp_Raw as per inputs. Ensure Harmonize_Offset_Default and Harmonize_SFC_Default are as per inputs
4) Verify Act_Disp_Raw_Avg_Expand and Expand_Stop_Collection_Complete as per expected results.</t>
  </si>
  <si>
    <t>STEP 7:
Verifies the LRU software computes Act_Disp_Raw_Avg_Expand = 10.248 and Expand_Stop_Collection_Complete = True when,
Average of Act_Disp_Raw from STEP 6 = 10.0
Harmonize_Offset_Default = 0.248
Harmonize_SFC_Default = 1.0
for LRU_5 Atype-2.</t>
  </si>
  <si>
    <t>Act_Disp_Raw_Avg_Expand = 10.248
Expand_Stop_Collection_Complete = True</t>
  </si>
  <si>
    <t>STEP 12:
Verifies the LRU software computes Act_Disp_Raw_Avg_Void = 0.248 and Void_Collection_Complete = True when,
Average of Act_Disp_Raw from STEP 11 = 0.0
Harmonize_Offset_Default = 0.248
Harmonize_SFC_Default = 1.0
for LRU_5 Atype-2.</t>
  </si>
  <si>
    <t>Act_Disp_Raw_Avg_Void = 0.248
Void_Collection_Complete = True</t>
  </si>
  <si>
    <t>TEST OUTLINE:
1) Set LRU Configuration as per Initial Conditions.
2) Initiate and Complete Electronic Harmonizing for Elevator using TCS script, Sample_1_Elevator.tcs.
3) Average of Act_Disp_Raw as per inputs. Ensure Harmonize_Offset_Default and Harmonize_SFC_Default are as per inputs
4) Verify Act_Disp_Raw_Avg_Void and Void_Stop_Collection_Complete as per expected results.</t>
  </si>
  <si>
    <t>STEP 12:
Verifies the LRU software computes Act_Disp_Raw_Avg_Void = 10.248 and Void_Collection_Complete = True when,
Average of Act_Disp_Raw from STEP 11 = 10.0
Harmonize_Offset_Default = 0.248
Harmonize_SFC_Default = 1.0
for LRU_5 Atype-2.</t>
  </si>
  <si>
    <t>Act_Disp_Raw_Avg_Void = 10.248
Void_Collection_Complete = True</t>
  </si>
  <si>
    <t>STEP 2:
Verifies the LRU software computes Act_Disp_Raw_Avg_Contract = 0.294 and Contract_Stop_Collection_Complete = True when,
Average of Act_Disp_Raw from STEP 1 = 0.0
Harmonize_Offset_Default = 0.294
Harmonize_SFC_Default = 1.0
for LRU_5 Atype-3.</t>
  </si>
  <si>
    <t>Act_Disp_Raw_Avg_Contract = 0.294
Contract_Stop_Collection_Complete = True</t>
  </si>
  <si>
    <t>STEP 2:
Verifies the LRU software computes Act_Disp_Raw_Avg_Contract = 10.294 and Contract_Stop_Collection_Complete = True when,
Average of Act_Disp_Raw from STEP 1 = 10.0
Harmonize_Offset_Default = 0.294
Harmonize_SFC_Default = 1.0
for LRU_5 Atype-3.</t>
  </si>
  <si>
    <t>Act_Disp_Raw_Avg_Contract = 10.294
Contract_Stop_Collection_Complete = True</t>
  </si>
  <si>
    <t>STEP 7:
Verifies the LRU software computes Act_Disp_Raw_Avg_Expand = 0.294 and Expand_Stop_Collection_Complete = True when,
Average of Act_Disp_Raw from STEP 6 = 0.0
Harmonize_Offset_Default = 0.294
Harmonize_SFC_Default = 1.0
for LRU_5 Atype-3.</t>
  </si>
  <si>
    <t>Act_Disp_Raw_Avg_Expand = 0.294
Expand_Stop_Collection_Complete = True</t>
  </si>
  <si>
    <t>STEP 7:
Verifies the LRU software computes Act_Disp_Raw_Avg_Expand = 10.294 and Expand_Stop_Collection_Complete = True when,
Average of Act_Disp_Raw from STEP 6 = 10.0
Harmonize_Offset_Default = 0.294
Harmonize_SFC_Default = 1.0
for LRU_5 Atype-3.</t>
  </si>
  <si>
    <t>Act_Disp_Raw_Avg_Expand = 10.294
Expand_Stop_Collection_Complete = True</t>
  </si>
  <si>
    <t>STEP 12:
Verifies the LRU software computes Act_Disp_Raw_Avg_Void = 0.294 and Void_Collection_Complete = True when,
Average of Act_Disp_Raw from STEP 11 = 0.0
Harmonize_Offset_Default = 0.294
Harmonize_SFC_Default = 1.0
for LRU_5 Atype-3.</t>
  </si>
  <si>
    <t>Act_Disp_Raw_Avg_Void = 0.294
Void_Collection_Complete = True</t>
  </si>
  <si>
    <t>STEP 12:
Verifies the LRU software computes Act_Disp_Raw_Avg_Void = 10.294 and Void_Collection_Complete = True when,
Average of Act_Disp_Raw from STEP 11 = 10.0
Harmonize_Offset_Default = 0.294
Harmonize_SFC_Default = 1.0
for LRU_5 Atype-3.</t>
  </si>
  <si>
    <t>Act_Disp_Raw_Avg_Void = 10.294
Void_Collection_Complete = True</t>
  </si>
  <si>
    <t>STEP 2:
Verifies the LRU software computes Act_Disp_Raw_Avg_Contract = 0.248 and Contract_Stop_Collection_Complete = True when,
Average of Act_Disp_Raw from STEP 1 = 0.0
Harmonize_Offset_Default = 0.248
Harmonize_SFC_Default = 1.0
for LRU_6 Atype-2.</t>
  </si>
  <si>
    <t>STEP 2:
Verifies the LRU software computes Act_Disp_Raw_Avg_Contract = 10.248 and Contract_Stop_Collection_Complete = True when,
Average of Act_Disp_Raw from STEP 1 = 10.0
Harmonize_Offset_Default = 0.248
Harmonize_SFC_Default = 1.0
for LRU_6 Atype-2.</t>
  </si>
  <si>
    <t>STEP 7:
Verifies the LRU software computes Act_Disp_Raw_Avg_Expand = 0.248 and Expand_Stop_Collection_Complete = True when,
Average of Act_Disp_Raw from STEP 6 = 0.0
Harmonize_Offset_Default = 0.248
Harmonize_SFC_Default = 1.0
for LRU_6 Atype-2.</t>
  </si>
  <si>
    <t>STEP 7:
Verifies the LRU software computes Act_Disp_Raw_Avg_Expand = 10.248 and Expand_Stop_Collection_Complete = True when,
Average of Act_Disp_Raw from STEP 6 = 10.0
Harmonize_Offset_Default = 0.248
Harmonize_SFC_Default = 1.0
for LRU_6 Atype-2.</t>
  </si>
  <si>
    <t>STEP 12:
Verifies the LRU software computes Act_Disp_Raw_Avg_Void = 0.248 and Void_Collection_Complete = True when,
Average of Act_Disp_Raw from STEP 11 = 0.0
Harmonize_Offset_Default = 0.248
Harmonize_SFC_Default = 1.0
for LRU_6 Atype-2.</t>
  </si>
  <si>
    <t>STEP 12:
Verifies the LRU software computes Act_Disp_Raw_Avg_Void = 10.248 and Void_Collection_Complete = True when,
Average of Act_Disp_Raw from STEP 11 = 10.0
Harmonize_Offset_Default = 0.248
Harmonize_SFC_Default = 1.0
for LRU_6 Atype-2.</t>
  </si>
  <si>
    <t>STEP 2:
Verifies the LRU software computes Act_Disp_Raw_Avg_Contract = 0.294 and Contract_Stop_Collection_Complete = True when,
Average of Act_Disp_Raw from STEP 1 = 0.0
Harmonize_Offset_Default = 0.294
Harmonize_SFC_Default = 1.0
for LRU_6 Atype-3.</t>
  </si>
  <si>
    <t>STEP 2:
Verifies the LRU software computes Act_Disp_Raw_Avg_Contract = 10.294 and Contract_Stop_Collection_Complete = True when,
Average of Act_Disp_Raw from STEP 1 = 10.0
Harmonize_Offset_Default = 0.294
Harmonize_SFC_Default = 1.0
for LRU_6 Atype-3.</t>
  </si>
  <si>
    <t>STEP 7:
Verifies the LRU software computes Act_Disp_Raw_Avg_Expand = 0.294 and Expand_Stop_Collection_Complete = True when,
Average of Act_Disp_Raw from STEP 6 = 0.0
Harmonize_Offset_Default = 0.294
Harmonize_SFC_Default = 1.0
for LRU_6 Atype-3.</t>
  </si>
  <si>
    <t>STEP 7:
Verifies the LRU software computes Act_Disp_Raw_Avg_Expand = 10.294 and Expand_Stop_Collection_Complete = True when,
Average of Act_Disp_Raw from STEP 6 = 10.0
Harmonize_Offset_Default = 0.294
Harmonize_SFC_Default = 1.0
for LRU_6 Atype-3.</t>
  </si>
  <si>
    <t>STEP 12:
Verifies the LRU software computes Act_Disp_Raw_Avg_Void = 0.294 and Void_Collection_Complete = True when,
Average of Act_Disp_Raw from STEP 11 = 0.0
Harmonize_Offset_Default = 0.294
Harmonize_SFC_Default = 1.0
for LRU_6 Atype-3.</t>
  </si>
  <si>
    <t>STEP 12:
Verifies the LRU software computes Act_Disp_Raw_Avg_Void = 10.294 and Void_Collection_Complete = True when,
Average of Act_Disp_Raw from STEP 11 = 10.0
Harmonize_Offset_Default = 0.294
Harmonize_SFC_Default = 1.0
for LRU_6 Atype-3.</t>
  </si>
  <si>
    <t>STEP 2:
Verifies the LRU software computes Act_Disp_Raw_Avg_Contract = 0.013 and Contract_Stop_Collection_Complete = True when,
Average of Act_Disp_Raw from STEP 1 = 0.0
Harmonize_Offset_Default = 0.013
Harmonize_SFC_Default = 1.0
for LRU_7 Atype-2.</t>
  </si>
  <si>
    <t>Act_Disp_Raw_Avg_Contract = 0.013
Contract_Stop_Collection_Complete = True</t>
  </si>
  <si>
    <t>TEST OUTLINE:
1) Set LRU Configuration as per Initial Conditions.
2) Initiate and Complete Electronic Harmonizing for Rudder using TCS script, Sample_1_Rudder.tcs.
3) Average of Act_Disp_Raw as per inputs. Ensure Harmonize_Offset_Default and Harmonize_SFC_Default are as per inputs
4) Verify Act_Disp_Raw_Avg_Contract and Contract_Stop_Collection_Complete as per expected results.</t>
  </si>
  <si>
    <t>STEP 2:
Verifies the LRU software computes Act_Disp_Raw_Avg_Contract = 10.013 and Contract_Stop_Collection_Complete = True when,
Average of Act_Disp_Raw from STEP 1 = 10.0
Harmonize_Offset_Default = 0.013
Harmonize_SFC_Default = 1.0
for LRU_7 Atype-2.</t>
  </si>
  <si>
    <t>Act_Disp_Raw_Avg_Contract = 10.013
Contract_Stop_Collection_Complete = True</t>
  </si>
  <si>
    <t>STEP 7:
Verifies the LRU software computes Act_Disp_Raw_Avg_Expand = 0.013 and Expand_Stop_Collection_Complete = True when,
Average of Act_Disp_Raw from STEP 6 = 0.0
Harmonize_Offset_Default = 0.013
Harmonize_SFC_Default = 1.0
for LRU_7 Atype-2.</t>
  </si>
  <si>
    <t>Act_Disp_Raw_Avg_Expand = 0.013
Expand_Stop_Collection_Complete = True</t>
  </si>
  <si>
    <t>TEST OUTLINE:
1) Set LRU Configuration as per Initial Conditions.
2) Initiate and Complete Electronic Harmonizing for Rudder using TCS script, Sample_1_Rudder.tcs.
3) Average of Act_Disp_Raw as per inputs. Ensure Harmonize_Offset_Default and Harmonize_SFC_Default are as per inputs
4) Verify Act_Disp_Raw_Avg_Expand and Expand_Stop_Collection_Complete as per expected results.</t>
  </si>
  <si>
    <t>STEP 7:
Verifies the LRU software computes Act_Disp_Raw_Avg_Expand = 10.013 and Expand_Stop_Collection_Complete = True when,
Average of Act_Disp_Raw from STEP 6 = 10.0
Harmonize_Offset_Default = 0.013
Harmonize_SFC_Default = 1.0
for LRU_7 Atype-2.</t>
  </si>
  <si>
    <t>Act_Disp_Raw_Avg_Expand = 10.013
Expand_Stop_Collection_Complete = True</t>
  </si>
  <si>
    <t>STEP 12:
Verifies the LRU software computes Act_Disp_Raw_Avg_Void = 0.013 and Void_Collection_Complete = True when,
Average of Act_Disp_Raw from STEP 11 = 0.0
Harmonize_Offset_Default = 0.013
Harmonize_SFC_Default = 1.0
for LRU_7 Atype-2.</t>
  </si>
  <si>
    <t>Act_Disp_Raw_Avg_Void = 0.013
Void_Collection_Complete = True</t>
  </si>
  <si>
    <t>TEST OUTLINE:
1) Set LRU Configuration as per Initial Conditions.
2) Initiate and Complete Electronic Harmonizing for Rudder using TCS script, Sample_1_Rudder.tcs.
3) Average of Act_Disp_Raw as per inputs. Ensure Harmonize_Offset_Default and Harmonize_SFC_Default are as per inputs
4) Verify Act_Disp_Raw_Avg_Void and Void_Stop_Collection_Complete as per expected results.</t>
  </si>
  <si>
    <t>STEP 12:
Verifies the LRU software computes Act_Disp_Raw_Avg_Void = 10.013 and Void_Collection_Complete = True when,
Average of Act_Disp_Raw from STEP 11 = 10.0
Harmonize_Offset_Default = 0.013
Harmonize_SFC_Default = 1.0
for LRU_7 Atype-2.</t>
  </si>
  <si>
    <t>Act_Disp_Raw_Avg_Void = 10.013
Void_Collection_Complete = True</t>
  </si>
  <si>
    <t>STEP 2:
Verifies the LRU software computes Act_Disp_Raw_Avg_Contract = 0.013 and Contract_Stop_Collection_Complete = True when,
Average of Act_Disp_Raw from STEP 1 = 0.0
Harmonize_Offset_Default = 0.013
Harmonize_SFC_Default = 1.0
for LRU_7 Atype-3.</t>
  </si>
  <si>
    <t>STEP 2:
Verifies the LRU software computes Act_Disp_Raw_Avg_Contract = 10.013 and Contract_Stop_Collection_Complete = True when,
Average of Act_Disp_Raw from STEP 1 = 10.0
Harmonize_Offset_Default = 0.013
Harmonize_SFC_Default = 1.0
for LRU_7 Atype-3.</t>
  </si>
  <si>
    <t>STEP 7:
Verifies the LRU software computes Act_Disp_Raw_Avg_Expand = 0.013 and Expand_Stop_Collection_Complete = True when,
Average of Act_Disp_Raw from STEP 6 = 0.0
Harmonize_Offset_Default = 0.013
Harmonize_SFC_Default = 1.0
for LRU_7 Atype-3.</t>
  </si>
  <si>
    <t>STEP 7:
Verifies the LRU software computes Act_Disp_Raw_Avg_Expand = 10.013 and Expand_Stop_Collection_Complete = True when,
Average of Act_Disp_Raw from STEP 6 = 10.0
Harmonize_Offset_Default = 0.013
Harmonize_SFC_Default = 1.0
for LRU_7 Atype-3.</t>
  </si>
  <si>
    <t>STEP 12:
Verifies the LRU software computes Act_Disp_Raw_Avg_Void = 0.013 and Void_Collection_Complete = True when,
Average of Act_Disp_Raw from STEP 11 = 0.0
Harmonize_Offset_Default = 0.013
Harmonize_SFC_Default = 1.0
for LRU_7 Atype-3.</t>
  </si>
  <si>
    <t>STEP 12:
Verifies the LRU software computes Act_Disp_Raw_Avg_Void = 10.013 and Void_Collection_Complete = True when,
Average of Act_Disp_Raw from STEP 11 = 10.0
Harmonize_Offset_Default = 0.013
Harmonize_SFC_Default = 1.0
for LRU_7 Atype-3.</t>
  </si>
  <si>
    <t>STEP 2:
Verifies the LRU software computes Act_Disp_Raw_Avg_Contract = 1.314 and Contract_Stop_Collection_Complete = True when,
Average of Act_Disp_Raw from STEP 1 = 0.0
Harmonize_Offset_Default = 1.314
Harmonize_SFC_Default = 1.0
for LRU_3 Atype-2.</t>
  </si>
  <si>
    <t>Act_Disp_Raw_Avg_Contract = 1.314
Contract_Stop_Collection_Complete = True</t>
  </si>
  <si>
    <t>TEST OUTLINE:
1) Set LRU Configuration as per Initial Conditions.
2) Initiate and Complete Electronic Harmonizing for Spoiler using TCS script, Sample_1_Spoiler.tcs.
3) Average of Act_Disp_Raw as per inputs. Ensure Harmonize_Offset_Default and Harmonize_SFC_Default are as per inputs
4) Verify Act_Disp_Raw_Avg_Contract and Contract_Stop_Collection_Complete as per expected results.</t>
  </si>
  <si>
    <t>STEP 2:
Verifies the LRU software computes Act_Disp_Raw_Avg_Contract = 11.314 and Contract_Stop_Collection_Complete = True when,
Average of Act_Disp_Raw from STEP 1 = 10.0
Harmonize_Offset_Default = 1.314
Harmonize_SFC_Default = 1.0
for LRU_3 Atype-2.</t>
  </si>
  <si>
    <t>Act_Disp_Raw_Avg_Contract = 11.314
Contract_Stop_Collection_Complete = True</t>
  </si>
  <si>
    <t>STEP 7:
Verifies the LRU software computes Act_Disp_Raw_Avg_Expand = 1.314 and Expand_Stop_Collection_Complete = True when,
Average of Act_Disp_Raw from STEP 6 = 0.0
Harmonize_Offset_Default = 1.314
Harmonize_SFC_Default = 1.0
for LRU_3 Atype-2.</t>
  </si>
  <si>
    <t>Act_Disp_Raw_Avg_Expand = 1.314
Expand_Stop_Collection_Complete = True</t>
  </si>
  <si>
    <t>TEST OUTLINE:
1) Set LRU Configuration as per Initial Conditions.
2) Initiate and Complete Electronic Harmonizing for Spoiler using TCS script, Sample_1_Spoiler.tcs.
3) Average of Act_Disp_Raw as per inputs. Ensure Harmonize_Offset_Default and Harmonize_SFC_Default are as per inputs
4) Verify Act_Disp_Raw_Avg_Expand and Expand_Stop_Collection_Complete as per expected results.</t>
  </si>
  <si>
    <t>STEP 7:
Verifies the LRU software computes Act_Disp_Raw_Avg_Expand = 11.314 and Expand_Stop_Collection_Complete = True when,
Average of Act_Disp_Raw from STEP 6 = 10.0
Harmonize_Offset_Default = 1.314
Harmonize_SFC_Default = 1.0
for LRU_3 Atype-2.</t>
  </si>
  <si>
    <t>Act_Disp_Raw_Avg_Expand = 11.314
Expand_Stop_Collection_Complete = True</t>
  </si>
  <si>
    <t>STEP 2:
Verifies the LRU software computes Act_Disp_Raw_Avg_Contract = 1.407 and Contract_Stop_Collection_Complete = True when,
Average of Act_Disp_Raw from STEP 1 = 0.0
Harmonize_Offset_Default = 1.407
Harmonize_SFC_Default = 1.0
for LRU_3 Atype-3.</t>
  </si>
  <si>
    <t>Act_Disp_Raw_Avg_Contract = 1.407
Contract_Stop_Collection_Complete = True</t>
  </si>
  <si>
    <t>STEP 2:
Verifies the LRU software computes Act_Disp_Raw_Avg_Contract = 11.407 and Contract_Stop_Collection_Complete = True when,
Average of Act_Disp_Raw from STEP 1 = 10.0
Harmonize_Offset_Default = 1.407
Harmonize_SFC_Default = 1.0
for LRU_3 Atype-3.</t>
  </si>
  <si>
    <t>Act_Disp_Raw_Avg_Contract = 11.407
Contract_Stop_Collection_Complete = True</t>
  </si>
  <si>
    <t>STEP 7:
Verifies the LRU software computes Act_Disp_Raw_Avg_Expand = 1.407 and Expand_Stop_Collection_Complete = True when,
Average of Act_Disp_Raw from STEP 6 = 0.0
Harmonize_Offset_Default = 1.407
Harmonize_SFC_Default = 1.0
for LRU_3 Atype-3.</t>
  </si>
  <si>
    <t>Act_Disp_Raw_Avg_Expand = 1.407
Expand_Stop_Collection_Complete = True</t>
  </si>
  <si>
    <t>STEP 7:
Verifies the LRU software computes Act_Disp_Raw_Avg_Expand = 11.407 and Expand_Stop_Collection_Complete = True when,
Average of Act_Disp_Raw from STEP 6 = 10.0
Harmonize_Offset_Default = 1.407
Harmonize_SFC_Default = 1.0
for LRU_3 Atype-3.</t>
  </si>
  <si>
    <t>Act_Disp_Raw_Avg_Expand = 11.407
Expand_Stop_Collection_Complete = True</t>
  </si>
  <si>
    <t>STEP 2:
Verifies the LRU software computes Act_Disp_Raw_Avg_Contract = 1.314 and Contract_Stop_Collection_Complete = True when,
Average of Act_Disp_Raw from STEP 1 = 0.0
Harmonize_Offset_Default = 1.314
Harmonize_SFC_Default = 1.0
for LRU_4 Atype-2.</t>
  </si>
  <si>
    <t>STEP 2:
Verifies the LRU software computes Act_Disp_Raw_Avg_Contract = 11.314 and Contract_Stop_Collection_Complete = True when,
Average of Act_Disp_Raw from STEP 1 = 10.0
Harmonize_Offset_Default = 1.314
Harmonize_SFC_Default = 1.0
for LRU_4 Atype-2.</t>
  </si>
  <si>
    <t>STEP 7:
Verifies the LRU software computes Act_Disp_Raw_Avg_Expand = 1.314 and Expand_Stop_Collection_Complete = True when,
Average of Act_Disp_Raw from STEP 6 = 0.0
Harmonize_Offset_Default = 1.314
Harmonize_SFC_Default = 1.0
for LRU_4 Atype-2.</t>
  </si>
  <si>
    <t>STEP 7:
Verifies the LRU software computes Act_Disp_Raw_Avg_Expand = 11.314 and Expand_Stop_Collection_Complete = True when,
Average of Act_Disp_Raw from STEP 6 = 10.0
Harmonize_Offset_Default = 1.314
Harmonize_SFC_Default = 1.0
for LRU_4 Atype-2.</t>
  </si>
  <si>
    <t>STEP 2:
Verifies the LRU software computes Act_Disp_Raw_Avg_Contract = 1.407 and Contract_Stop_Collection_Complete = True when,
Average of Act_Disp_Raw from STEP 1 = 0.0
Harmonize_Offset_Default = 1.407
Harmonize_SFC_Default = 1.0
for LRU_4 Atype-3.</t>
  </si>
  <si>
    <t>STEP 2:
Verifies the LRU software computes Act_Disp_Raw_Avg_Contract = 11.407 and Contract_Stop_Collection_Complete = True when,
Average of Act_Disp_Raw from STEP 1 = 10.0
Harmonize_Offset_Default = 1.407
Harmonize_SFC_Default = 1.0
for LRU_4 Atype-3.</t>
  </si>
  <si>
    <t>STEP 7:
Verifies the LRU software computes Act_Disp_Raw_Avg_Expand = 1.407 and Expand_Stop_Collection_Complete = True when,
Average of Act_Disp_Raw from STEP 6 = 0.0
Harmonize_Offset_Default = 1.407
Harmonize_SFC_Default = 1.0
for LRU_4 Atype-3.</t>
  </si>
  <si>
    <t>STEP 7:
Verifies the LRU software computes Act_Disp_Raw_Avg_Expand = 11.407 and Expand_Stop_Collection_Complete = True when,
Average of Act_Disp_Raw from STEP 6 = 10.0
Harmonize_Offset_Default = 1.407
Harmonize_SFC_Default = 1.0
for LRU_4 Atype-3.</t>
  </si>
  <si>
    <t>STEP 2:
Verifies the LRU software computes Act_Disp_Raw_Avg_Contract = 0.173 and Contract_Stop_Collection_Complete = True when,
Average of Act_Disp_Raw from STEP 1 = 0.0
Harmonize_Offset_Default = 0.173
Harmonize_SFC_Default = 1.0
for LRU_1 Atype-1.</t>
  </si>
  <si>
    <t>STEP 2:
Verifies the LRU software computes Act_Disp_Raw_Avg_Contract = 10.173 and Contract_Stop_Collection_Complete = True when,
Average of Act_Disp_Raw from STEP 1 = 10.0
Harmonize_Offset_Default = 0.173
Harmonize_SFC_Default = 1.0
for LRU_1 Atype-1.</t>
  </si>
  <si>
    <t>STEP 7:
Verifies the LRU software computes Act_Disp_Raw_Avg_Expand = 0.173 and Expand_Stop_Collection_Complete = True when,
Average of Act_Disp_Raw from STEP 6 = 0.0
Harmonize_Offset_Default = 0.173
Harmonize_SFC_Default = 1.0
for LRU_1 Atype-1.</t>
  </si>
  <si>
    <t>STEP 7:
Verifies the LRU software computes Act_Disp_Raw_Avg_Expand = 10.173 and Expand_Stop_Collection_Complete = True when,
Average of Act_Disp_Raw from STEP 6 = 10.0
Harmonize_Offset_Default = 0.173
Harmonize_SFC_Default = 1.0
for LRU_1 Atype-1.</t>
  </si>
  <si>
    <t>STEP 12:
Verifies the LRU software computes Act_Disp_Raw_Avg_Void = 0.173 and Void_Collection_Complete = True when,
Average of Act_Disp_Raw from STEP 11 = 0.0
Harmonize_Offset_Default = 0.173
Harmonize_SFC_Default = 1.0
for LRU_1 Atype-1.</t>
  </si>
  <si>
    <t>STEP 12:
Verifies the LRU software computes Act_Disp_Raw_Avg_Void = 10.173 and Void_Collection_Complete = True when,
Average of Act_Disp_Raw from STEP 11 = 10.0
Harmonize_Offset_Default = 0.173
Harmonize_SFC_Default = 1.0
for LRU_1 Atype-1.</t>
  </si>
  <si>
    <t>STEP 2:
Verifies the LRU software computes Act_Disp_Raw_Avg_Contract = 0.173 and Contract_Stop_Collection_Complete = True when,
Average of Act_Disp_Raw from STEP 1 = 0.0
Harmonize_Offset_Default = 0.173
Harmonize_SFC_Default = 1.0
for LRU_2 Atype-1.</t>
  </si>
  <si>
    <t>STEP 2:
Verifies the LRU software computes Act_Disp_Raw_Avg_Contract = 10.173 and Contract_Stop_Collection_Complete = True when,
Average of Act_Disp_Raw from STEP 1 = 10.0
Harmonize_Offset_Default = 0.173
Harmonize_SFC_Default = 1.0
for LRU_2 Atype-1.</t>
  </si>
  <si>
    <t>STEP 7:
Verifies the LRU software computes Act_Disp_Raw_Avg_Expand = 0.173 and Expand_Stop_Collection_Complete = True when,
Average of Act_Disp_Raw from STEP 6 = 0.0
Harmonize_Offset_Default = 0.173
Harmonize_SFC_Default = 1.0
for LRU_2 Atype-1.</t>
  </si>
  <si>
    <t>STEP 7:
Verifies the LRU software computes Act_Disp_Raw_Avg_Expand = 10.173 and Expand_Stop_Collection_Complete = True when,
Average of Act_Disp_Raw from STEP 6 = 10.0
Harmonize_Offset_Default = 0.173
Harmonize_SFC_Default = 1.0
for LRU_2 Atype-1.</t>
  </si>
  <si>
    <t>STEP 12:
Verifies the LRU software computes Act_Disp_Raw_Avg_Void = 0.173 and Void_Collection_Complete = True when,
Average of Act_Disp_Raw from STEP 11 = 0.0
Harmonize_Offset_Default = 0.173
Harmonize_SFC_Default = 1.0
for LRU_2 Atype-1.</t>
  </si>
  <si>
    <t>STEP 12:
Verifies the LRU software computes Act_Disp_Raw_Avg_Void = 10.173 and Void_Collection_Complete = True when,
Average of Act_Disp_Raw from STEP 11 = 10.0
Harmonize_Offset_Default = 0.173
Harmonize_SFC_Default = 1.0
for LRU_2 Atype-1.</t>
  </si>
  <si>
    <t>STEP 2:
Verifies the LRU software computes Act_Disp_Raw_Avg_Contract = 0.248 and Contract_Stop_Collection_Complete = True when,
Average of Act_Disp_Raw from STEP 1 = 0.0
Harmonize_Offset_Default = 0.248
Harmonize_SFC_Default = 1.0
for LRU_5 Atype-1.</t>
  </si>
  <si>
    <t>STEP 2:
Verifies the LRU software computes Act_Disp_Raw_Avg_Contract = 10.248 and Contract_Stop_Collection_Complete = True when,
Average of Act_Disp_Raw from STEP 1 = 10.0
Harmonize_Offset_Default = 0.248
Harmonize_SFC_Default = 1.0
for LRU_5 Atype-1.</t>
  </si>
  <si>
    <t>STEP 7:
Verifies the LRU software computes Act_Disp_Raw_Avg_Expand = 0.248 and Expand_Stop_Collection_Complete = True when,
Average of Act_Disp_Raw from STEP 6 = 0.0
Harmonize_Offset_Default = 0.248
Harmonize_SFC_Default = 1.0
for LRU_5 Atype-1.</t>
  </si>
  <si>
    <t>STEP 7:
Verifies the LRU software computes Act_Disp_Raw_Avg_Expand = 10.248 and Expand_Stop_Collection_Complete = True when,
Average of Act_Disp_Raw from STEP 6 = 10.0
Harmonize_Offset_Default = 0.248
Harmonize_SFC_Default = 1.0
for LRU_5 Atype-1.</t>
  </si>
  <si>
    <t>STEP 12:
Verifies the LRU software computes Act_Disp_Raw_Avg_Void = 0.248 and Void_Collection_Complete = True when,
Average of Act_Disp_Raw from STEP 11 = 0.0
Harmonize_Offset_Default = 0.248
Harmonize_SFC_Default = 1.0
for LRU_5 Atype-1.</t>
  </si>
  <si>
    <t>STEP 12:
Verifies the LRU software computes Act_Disp_Raw_Avg_Void = 10.248 and Void_Collection_Complete = True when,
Average of Act_Disp_Raw from STEP 11 = 10.0
Harmonize_Offset_Default = 0.248
Harmonize_SFC_Default = 1.0
for LRU_5 Atype-1.</t>
  </si>
  <si>
    <t>STEP 2:
Verifies the LRU software computes Act_Disp_Raw_Avg_Contract = 0.248 and Contract_Stop_Collection_Complete = True when,
Average of Act_Disp_Raw from STEP 1 = 0.0
Harmonize_Offset_Default = 0.248
Harmonize_SFC_Default = 1.0
for LRU_6 Atype-1.</t>
  </si>
  <si>
    <t>STEP 2:
Verifies the LRU software computes Act_Disp_Raw_Avg_Contract = 10.248 and Contract_Stop_Collection_Complete = True when,
Average of Act_Disp_Raw from STEP 1 = 10.0
Harmonize_Offset_Default = 0.248
Harmonize_SFC_Default = 1.0
for LRU_6 Atype-1.</t>
  </si>
  <si>
    <t>STEP 7:
Verifies the LRU software computes Act_Disp_Raw_Avg_Expand = 0.248 and Expand_Stop_Collection_Complete = True when,
Average of Act_Disp_Raw from STEP 6 = 0.0
Harmonize_Offset_Default = 0.248
Harmonize_SFC_Default = 1.0
for LRU_6 Atype-1.</t>
  </si>
  <si>
    <t>STEP 7:
Verifies the LRU software computes Act_Disp_Raw_Avg_Expand = 10.248 and Expand_Stop_Collection_Complete = True when,
Average of Act_Disp_Raw from STEP 6 = 10.0
Harmonize_Offset_Default = 0.248
Harmonize_SFC_Default = 1.0
for LRU_6 Atype-1.</t>
  </si>
  <si>
    <t>STEP 12:
Verifies the LRU software computes Act_Disp_Raw_Avg_Void = 0.248 and Void_Collection_Complete = True when,
Average of Act_Disp_Raw from STEP 11 = 0.0
Harmonize_Offset_Default = 0.248
Harmonize_SFC_Default = 1.0
for LRU_6 Atype-1.</t>
  </si>
  <si>
    <t>STEP 12:
Verifies the LRU software computes Act_Disp_Raw_Avg_Void = 10.248 and Void_Collection_Complete = True when,
Average of Act_Disp_Raw from STEP 11 = 10.0
Harmonize_Offset_Default = 0.248
Harmonize_SFC_Default = 1.0
for LRU_6 Atype-1.</t>
  </si>
  <si>
    <t>STEP 2:
Verifies the LRU software computes Act_Disp_Raw_Avg_Contract = 0.013 and Contract_Stop_Collection_Complete = True when,
Average of Act_Disp_Raw from STEP 1 = 0.0
Harmonize_Offset_Default = 0.013
Harmonize_SFC_Default = 1.0
for LRU_7 Atype-1.</t>
  </si>
  <si>
    <t>STEP 2:
Verifies the LRU software computes Act_Disp_Raw_Avg_Contract = 10.013 and Contract_Stop_Collection_Complete = True when,
Average of Act_Disp_Raw from STEP 1 = 10.0
Harmonize_Offset_Default = 0.013
Harmonize_SFC_Default = 1.0
for LRU_7 Atype-1.</t>
  </si>
  <si>
    <t>STEP 7:
Verifies the LRU software computes Act_Disp_Raw_Avg_Expand = 0.013 and Expand_Stop_Collection_Complete = True when,
Average of Act_Disp_Raw from STEP 6 = 0.0
Harmonize_Offset_Default = 0.013
Harmonize_SFC_Default = 1.0
for LRU_7 Atype-1.</t>
  </si>
  <si>
    <t>STEP 7:
Verifies the LRU software computes Act_Disp_Raw_Avg_Expand = 10.013 and Expand_Stop_Collection_Complete = True when,
Average of Act_Disp_Raw from STEP 6 = 10.0
Harmonize_Offset_Default = 0.013
Harmonize_SFC_Default = 1.0
for LRU_7 Atype-1.</t>
  </si>
  <si>
    <t>STEP 12:
Verifies the LRU software computes Act_Disp_Raw_Avg_Void = 0.013 and Void_Collection_Complete = True when,
Average of Act_Disp_Raw from STEP 11 = 0.0
Harmonize_Offset_Default = 0.013
Harmonize_SFC_Default = 1.0
for LRU_7 Atype-1.</t>
  </si>
  <si>
    <t>STEP 12:
Verifies the LRU software computes Act_Disp_Raw_Avg_Void = 10.013 and Void_Collection_Complete = True when,
Average of Act_Disp_Raw from STEP 11 = 10.0
Harmonize_Offset_Default = 0.013
Harmonize_SFC_Default = 1.0
for LRU_7 Atype-1.</t>
  </si>
  <si>
    <t>STEP 2:
Verifies the LRU software computes Act_Disp_Raw_Avg_Contract = 1.314 and Contract_Stop_Collection_Complete = True when,
Average of Act_Disp_Raw from STEP 1 = 0.0
Harmonize_Offset_Default = 1.314
Harmonize_SFC_Default = 1.0
for LRU_3 Atype-1.</t>
  </si>
  <si>
    <t>STEP 2:
Verifies the LRU software computes Act_Disp_Raw_Avg_Contract = 11.314 and Contract_Stop_Collection_Complete = True when,
Average of Act_Disp_Raw from STEP 1 = 10.0
Harmonize_Offset_Default = 1.314
Harmonize_SFC_Default = 1.0
for LRU_3 Atype-1.</t>
  </si>
  <si>
    <t>STEP 7:
Verifies the LRU software computes Act_Disp_Raw_Avg_Expand = 1.314 and Expand_Stop_Collection_Complete = True when,
Average of Act_Disp_Raw from STEP 6 = 0.0
Harmonize_Offset_Default = 1.314
Harmonize_SFC_Default = 1.0
for LRU_3 Atype-1.</t>
  </si>
  <si>
    <t>STEP 7:
Verifies the LRU software computes Act_Disp_Raw_Avg_Expand = 11.314 and Expand_Stop_Collection_Complete = True when,
Average of Act_Disp_Raw from STEP 6 = 10.0
Harmonize_Offset_Default = 1.314
Harmonize_SFC_Default = 1.0
for LRU_3 Atype-1.</t>
  </si>
  <si>
    <t>STEP 2:
Verifies the LRU software computes Act_Disp_Raw_Avg_Contract = 1.314 and Contract_Stop_Collection_Complete = True when,
Average of Act_Disp_Raw from STEP 1 = 0.0
Harmonize_Offset_Default = 1.314
Harmonize_SFC_Default = 1.0
for LRU_4 Atype-1.</t>
  </si>
  <si>
    <t>STEP 2:
Verifies the LRU software computes Act_Disp_Raw_Avg_Contract = 11.314 and Contract_Stop_Collection_Complete = True when,
Average of Act_Disp_Raw from STEP 1 = 10.0
Harmonize_Offset_Default = 1.314
Harmonize_SFC_Default = 1.0
for LRU_4 Atype-1.</t>
  </si>
  <si>
    <t>STEP 7:
Verifies the LRU software computes Act_Disp_Raw_Avg_Expand = 1.314 and Expand_Stop_Collection_Complete = True when,
Average of Act_Disp_Raw from STEP 6 = 0.0
Harmonize_Offset_Default = 1.314
Harmonize_SFC_Default = 1.0
for LRU_4 Atype-1.</t>
  </si>
  <si>
    <t>STEP 7:
Verifies the LRU software computes Act_Disp_Raw_Avg_Expand = 11.314 and Expand_Stop_Collection_Complete = True when,
Average of Act_Disp_Raw from STEP 6 = 10.0
Harmonize_Offset_Default = 1.314
Harmonize_SFC_Default = 1.0
for LRU_4 Atype-1.</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</si>
  <si>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LRU_1 Atype-1.</t>
  </si>
  <si>
    <t xml:space="preserve">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LRU_1 Atype-1. </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</si>
  <si>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LRU_1 Atype-1.</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</si>
  <si>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LRU_1 Atype-1.</t>
  </si>
  <si>
    <t>STEP 14a and 14b:
Verifies that in Harmonizing Mode the LRU Software transmit the below on STL_Bus when Act_Disp_Range_Void_Fault = False,
IVT_Receipt_Envelope = 0x0017
IVT_Receipt_Content: Void_Collection_Complete (IVT 2) = True
IVT_Receipt_Content: Harmonizing_Failed (IVT 4) = False
for LRU_1 Atype-1.</t>
  </si>
  <si>
    <t>STEP 14a and 14b:
Verifies that in Harmonizing Mode the LRU Software transmit the below on STL_Bus when Act_Disp_Range_Void_Fault = True,
IVT_Receipt_Envelope = 0x0017
IVT_Receipt_Content: Void_Collection_Complete (IVT 2) = True
IVT_Receipt_Content: Harmonizing_Failed (IVT 4) = True
for LRU_1 Atype-1.</t>
  </si>
  <si>
    <t>STEP 16:
Verifies that in Harmonizing Mode the LRU Software set Primary_Harmonize_Calc = True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True (Condition = True)
for LRU_1 Atype-1.
(MCDC Achieved: T, T, T, T, T, T -&gt; T)</t>
  </si>
  <si>
    <t>STEP 16:
Verifies that in Harmonizing Mode the LRU Software set Primary_Harmonize_Calc = False when,
Act_Disp_Range_Contract_Fault = True (Condition = False)
Act_Disp_Range_Expand_Fault = False (Condition = True)
Act_Disp_Range_Void_Fault = False (Condition = True)
Contract_Stop_Collection_Complete = True (Condition = True)
Expand_Stop_Collection_Complete = True (Condition = True)
Void_Collection_Complete = True (Condition = True)
for LRU_1 Atype-1.
(MCDC Achieved: F, T, T, T, T, T -&gt; F)</t>
  </si>
  <si>
    <t>STEP 16:
Verifies that in Harmonizing Mode the LRU Software set Primary_Harmonize_Calc = False when,
Act_Disp_Range_Contract_Fault = False (Condition = True)
Act_Disp_Range_Expand_Fault = True (Condition = False)
Act_Disp_Range_Void_Fault = False (Condition = True)
Contract_Stop_Collection_Complete = True (Condition = True)
Expand_Stop_Collection_Complete = True (Condition = True)
Void_Collection_Complete = True (Condition = True)
for LRU_1 Atype-1.
(MCDC Achieved: T, F, T, T, T, T -&gt; F)</t>
  </si>
  <si>
    <t>STEP 16:
Verifies that in Harmonizing Mode the LRU Software set Primary_Harmonize_Calc = False when,
Act_Disp_Range_Contract_Fault = False (Condition = True)
Act_Disp_Range_Expand_Fault = False (Condition = True)
Act_Disp_Range_Void_Fault = True (Condition = False)
Contract_Stop_Collection_Complete = True (Condition = True)
Expand_Stop_Collection_Complete = True (Condition = True)
Void_Collection_Complete = True (Condition = True)
for LRU_1 Atype-1.
(MCDC Achieved: T, T, F, T,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</si>
  <si>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False (Condition = False)
Expand_Stop_Collection_Complete = True (Condition = True)
Void_Collection_Complete = True (Condition = True)
for LRU_1 Atype-1.
(MCDC Achieved: T, T, T, F,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</si>
  <si>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False (Condition = False)
Void_Collection_Complete = True (Condition = True)
for LRU_1 Atype-1.
(MCDC Achieved: T, T, T, T, F,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</si>
  <si>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False (Condition = False)
for LRU_1 Atype-1.
(MCDC Achieved: T, T, T, T, T, F -&gt; F)</t>
  </si>
  <si>
    <t>STEP 16:
Verifies that in Harmonizing Mode the LRU Software set Primary_Harmonize_Calc = False when,
Act_Disp_Range_Contract_Fault = True
Act_Disp_Range_Expand_Fault = False
Act_Disp_Range_Void_Fault = False
Contract_Stop_Collection_Complete = False
Expand_Stop_Collection_Complete = True
Void_Collection_Complete = True
for LRU_1 Atype-1.</t>
  </si>
  <si>
    <t>STEP 16:
Verifies that in Harmonizing Mode the LRU Software set Primary_Harmonize_Calc = False when,
Act_Disp_Range_Contract_Fault = False
Act_Disp_Range_Expand_Fault = True
Act_Disp_Range_Void_Fault = False
Contract_Stop_Collection_Complete = True
Expand_Stop_Collection_Complete = False
Void_Collection_Complete = True
for LRU_1 Atype-1.</t>
  </si>
  <si>
    <t>STEP 16:
Verifies that in Harmonizing Mode the LRU Software set Primary_Harmonize_Calc = False when,
Act_Disp_Range_Contract_Fault = False
Act_Disp_Range_Expand_Fault = False
Act_Disp_Range_Void_Fault = True
Contract_Stop_Collection_Complete = True
Expand_Stop_Collection_Complete = True
Void_Collection_Complete = False
for LRU_1 Atype-1.</t>
  </si>
  <si>
    <t>STEP 17:
Verifies that in Harmonizing Mode the LRU Software doesn't set Spoiler_Harmonize_Calc = True when,
Act_Disp_Range_Contract_Fault = False
Act_Disp_Range_Expand_Fault = False
Contract_Stop_Collection_Complete = True
Expand_Stop_Collection_Complete = True
for LRU_1 Atype-1.</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</si>
  <si>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LRU_2 Atype-1 Atype-1.</t>
  </si>
  <si>
    <t>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LRU_2 Atype-1 Atype-1.</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</si>
  <si>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LRU_2 Atype-1 Atype-1.</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</si>
  <si>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LRU_2 Atype-1 Atype-1.</t>
  </si>
  <si>
    <t>STEP 14a and 14b:
Verifies that in Harmonizing Mode the LRU Software transmit the below on STL_Bus when Act_Disp_Range_Void_Fault = False,
IVT_Receipt_Envelope = 0x0017
IVT_Receipt_Content: Void_Collection_Complete (IVT 2) = True
IVT_Receipt_Content: Harmonizing_Failed (IVT 4) = False
for LRU_2 Atype-1 Atype-1.</t>
  </si>
  <si>
    <t>STEP 14a and 14b:
Verifies that in Harmonizing Mode the LRU Software transmit the below on STL_Bus when Act_Disp_Range_Void_Fault = True,
IVT_Receipt_Envelope = 0x0017
IVT_Receipt_Content: Void_Collection_Complete (IVT 2) = True
IVT_Receipt_Content: Harmonizing_Failed (IVT 4) = True
for LRU_2 Atype-1 Atype-1.</t>
  </si>
  <si>
    <t>STEP 16:
Verifies that in Harmonizing Mode the LRU Software set Primary_Harmonize_Calc = True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True (Condition = True)
for LRU_2 Atype-1 Atype-1.
(MCDC Achieved: T, T, T, T, T, T -&gt; T)</t>
  </si>
  <si>
    <t>STEP 16:
Verifies that in Harmonizing Mode the LRU Software set Primary_Harmonize_Calc = False when,
Act_Disp_Range_Contract_Fault = True (Condition = False)
Act_Disp_Range_Expand_Fault = False (Condition = True)
Act_Disp_Range_Void_Fault = False (Condition = True)
Contract_Stop_Collection_Complete = True (Condition = True)
Expand_Stop_Collection_Complete = True (Condition = True)
Void_Collection_Complete = True (Condition = True)
for LRU_2 Atype-1 Atype-1.
(MCDC Achieved: F, T, T, T, T, T -&gt; F)</t>
  </si>
  <si>
    <t>STEP 16:
Verifies that in Harmonizing Mode the LRU Software set Primary_Harmonize_Calc = False when,
Act_Disp_Range_Contract_Fault = False (Condition = True)
Act_Disp_Range_Expand_Fault = True (Condition = False)
Act_Disp_Range_Void_Fault = False (Condition = True)
Contract_Stop_Collection_Complete = True (Condition = True)
Expand_Stop_Collection_Complete = True (Condition = True)
Void_Collection_Complete = True (Condition = True)
for LRU_2 Atype-1 Atype-1.
(MCDC Achieved: T, F, T, T, T, T -&gt; F)</t>
  </si>
  <si>
    <t>STEP 16:
Verifies that in Harmonizing Mode the LRU Software set Primary_Harmonize_Calc = False when,
Act_Disp_Range_Contract_Fault = False (Condition = True)
Act_Disp_Range_Expand_Fault = False (Condition = True)
Act_Disp_Range_Void_Fault = True (Condition = False)
Contract_Stop_Collection_Complete = True (Condition = True)
Expand_Stop_Collection_Complete = True (Condition = True)
Void_Collection_Complete = True (Condition = True)
for LRU_2 Atype-1 Atype-1.
(MCDC Achieved: T, T, F, T,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</si>
  <si>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False (Condition = False)
Expand_Stop_Collection_Complete = True (Condition = True)
Void_Collection_Complete = True (Condition = True)
for LRU_2 Atype-1 Atype-1.
(MCDC Achieved: T, T, T, F,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</si>
  <si>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False (Condition = False)
Void_Collection_Complete = True (Condition = True)
for LRU_2 Atype-1 Atype-1.
(MCDC Achieved: T, T, T, T, F,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</si>
  <si>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False (Condition = False)
for LRU_2 Atype-1 Atype-1.
(MCDC Achieved: T, T, T, T, T, F -&gt; F)</t>
  </si>
  <si>
    <t>STEP 16:
Verifies that in Harmonizing Mode the LRU Software set Primary_Harmonize_Calc = False when,
Act_Disp_Range_Contract_Fault = True
Act_Disp_Range_Expand_Fault = False
Act_Disp_Range_Void_Fault = False
Contract_Stop_Collection_Complete = False
Expand_Stop_Collection_Complete = True
Void_Collection_Complete = True
for LRU_2 Atype-1 Atype-1.</t>
  </si>
  <si>
    <t>STEP 16:
Verifies that in Harmonizing Mode the LRU Software set Primary_Harmonize_Calc = False when,
Act_Disp_Range_Contract_Fault = False
Act_Disp_Range_Expand_Fault = True
Act_Disp_Range_Void_Fault = False
Contract_Stop_Collection_Complete = True
Expand_Stop_Collection_Complete = False
Void_Collection_Complete = True
for LRU_2 Atype-1 Atype-1.</t>
  </si>
  <si>
    <t>STEP 16:
Verifies that in Harmonizing Mode the LRU Software set Primary_Harmonize_Calc = False when,
Act_Disp_Range_Contract_Fault = False
Act_Disp_Range_Expand_Fault = False
Act_Disp_Range_Void_Fault = True
Contract_Stop_Collection_Complete = True
Expand_Stop_Collection_Complete = True
Void_Collection_Complete = False
for LRU_2 Atype-1 Atype-1.</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</si>
  <si>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LRU_5 Atype-1.</t>
  </si>
  <si>
    <t>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LRU_5 Atype-1.</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</si>
  <si>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LRU_5 Atype-1.</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</si>
  <si>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LRU_5 Atype-1.</t>
  </si>
  <si>
    <t>STEP 14a and 14b:
Verifies that in Harmonizing Mode the LRU Software transmit the below on STL_Bus when Act_Disp_Range_Void_Fault = False,
IVT_Receipt_Envelope = 0x0017
IVT_Receipt_Content: Void_Collection_Complete (IVT 2) = True
IVT_Receipt_Content: Harmonizing_Failed (IVT 4) = False
for LRU_5 Atype-1.</t>
  </si>
  <si>
    <t>STEP 14a and 14b:
Verifies that in Harmonizing Mode the LRU Software transmit the below on STL_Bus when Act_Disp_Range_Void_Fault = True,
IVT_Receipt_Envelope = 0x0017
IVT_Receipt_Content: Void_Collection_Complete (IVT 2) = True
IVT_Receipt_Content: Harmonizing_Failed (IVT 4) = True
for LRU_5 Atype-1.</t>
  </si>
  <si>
    <t>STEP 16:
Verifies that in Harmonizing Mode the LRU Software set Primary_Harmonize_Calc = True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True (Condition = True)
for LRU_5 Atype-1.
(MCDC Achieved: T, T, T, T, T, T -&gt; T)</t>
  </si>
  <si>
    <t>STEP 16:
Verifies that in Harmonizing Mode the LRU Software set Primary_Harmonize_Calc = False when,
Act_Disp_Range_Contract_Fault = True (Condition = False)
Act_Disp_Range_Expand_Fault = False (Condition = True)
Act_Disp_Range_Void_Fault = False (Condition = True)
Contract_Stop_Collection_Complete = True (Condition = True)
Expand_Stop_Collection_Complete = True (Condition = True)
Void_Collection_Complete = True (Condition = True)
for LRU_5 Atype-1.
(MCDC Achieved: F, T, T, T, T, T -&gt; F)</t>
  </si>
  <si>
    <t>STEP 16:
Verifies that in Harmonizing Mode the LRU Software set Primary_Harmonize_Calc = False when,
Act_Disp_Range_Contract_Fault = False (Condition = True)
Act_Disp_Range_Expand_Fault = True (Condition = False)
Act_Disp_Range_Void_Fault = False (Condition = True)
Contract_Stop_Collection_Complete = True (Condition = True)
Expand_Stop_Collection_Complete = True (Condition = True)
Void_Collection_Complete = True (Condition = True)
for LRU_5 Atype-1.
(MCDC Achieved: T, F, T, T, T, T -&gt; F)</t>
  </si>
  <si>
    <t>STEP 16:
Verifies that in Harmonizing Mode the LRU Software set Primary_Harmonize_Calc = False when,
Act_Disp_Range_Contract_Fault = False (Condition = True)
Act_Disp_Range_Expand_Fault = False (Condition = True)
Act_Disp_Range_Void_Fault = True (Condition = False)
Contract_Stop_Collection_Complete = True (Condition = True)
Expand_Stop_Collection_Complete = True (Condition = True)
Void_Collection_Complete = True (Condition = True)
for LRU_5 Atype-1.
(MCDC Achieved: T, T, F, T,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</si>
  <si>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False (Condition = False)
Expand_Stop_Collection_Complete = True (Condition = True)
Void_Collection_Complete = True (Condition = True)
for LRU_5 Atype-1.
(MCDC Achieved: T, T, T, F,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</si>
  <si>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False (Condition = False)
Void_Collection_Complete = True (Condition = True)
for LRU_5 Atype-1.
(MCDC Achieved: T, T, T, T, F,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</si>
  <si>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False (Condition = False)
for LRU_5 Atype-1.
(MCDC Achieved: T, T, T, T, T, F -&gt; F)</t>
  </si>
  <si>
    <t>STEP 16:
Verifies that in Harmonizing Mode the LRU Software set Primary_Harmonize_Calc = False when,
Act_Disp_Range_Contract_Fault = True
Act_Disp_Range_Expand_Fault = False
Act_Disp_Range_Void_Fault = False
Contract_Stop_Collection_Complete = False
Expand_Stop_Collection_Complete = True
Void_Collection_Complete = True
for LRU_5 Atype-1.</t>
  </si>
  <si>
    <t>STEP 16:
Verifies that in Harmonizing Mode the LRU Software set Primary_Harmonize_Calc = False when,
Act_Disp_Range_Contract_Fault = False
Act_Disp_Range_Expand_Fault = True
Act_Disp_Range_Void_Fault = False
Contract_Stop_Collection_Complete = True
Expand_Stop_Collection_Complete = False
Void_Collection_Complete = True
for LRU_5 Atype-1.</t>
  </si>
  <si>
    <t>STEP 16:
Verifies that in Harmonizing Mode the LRU Software set Primary_Harmonize_Calc = False when,
Act_Disp_Range_Contract_Fault = False
Act_Disp_Range_Expand_Fault = False
Act_Disp_Range_Void_Fault = True
Contract_Stop_Collection_Complete = True
Expand_Stop_Collection_Complete = True
Void_Collection_Complete = False
for LRU_5 Atype-1.</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</si>
  <si>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LRU_6 Atype-1.</t>
  </si>
  <si>
    <t>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LRU_6 Atype-1.</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</si>
  <si>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LRU_6 Atype-1.</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</si>
  <si>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LRU_6 Atype-1.</t>
  </si>
  <si>
    <t>STEP 14a and 14b:
Verifies that in Harmonizing Mode the LRU Software transmit the below on STL_Bus when Act_Disp_Range_Void_Fault = False,
IVT_Receipt_Envelope = 0x0017
IVT_Receipt_Content: Void_Collection_Complete (IVT 2) = True
IVT_Receipt_Content: Harmonizing_Failed (IVT 4) = False
for LRU_6 Atype-1.</t>
  </si>
  <si>
    <t>STEP 14a and 14b:
Verifies that in Harmonizing Mode the LRU Software transmit the below on STL_Bus when Act_Disp_Range_Void_Fault = True,
IVT_Receipt_Envelope = 0x0017
IVT_Receipt_Content: Void_Collection_Complete (IVT 2) = True
IVT_Receipt_Content: Harmonizing_Failed (IVT 4) = True
for LRU_6 Atype-1.</t>
  </si>
  <si>
    <t>STEP 16:
Verifies that in Harmonizing Mode the LRU Software set Primary_Harmonize_Calc = True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True (Condition = True)
for LRU_6 Atype-1.
(MCDC Achieved: T, T, T, T, T, T -&gt; T)</t>
  </si>
  <si>
    <t>STEP 16:
Verifies that in Harmonizing Mode the LRU Software set Primary_Harmonize_Calc = False when,
Act_Disp_Range_Contract_Fault = True (Condition = False)
Act_Disp_Range_Expand_Fault = False (Condition = True)
Act_Disp_Range_Void_Fault = False (Condition = True)
Contract_Stop_Collection_Complete = True (Condition = True)
Expand_Stop_Collection_Complete = True (Condition = True)
Void_Collection_Complete = True (Condition = True)
for LRU_6 Atype-1.
(MCDC Achieved: F, T, T, T, T, T -&gt; F)</t>
  </si>
  <si>
    <t>STEP 16:
Verifies that in Harmonizing Mode the LRU Software set Primary_Harmonize_Calc = False when,
Act_Disp_Range_Contract_Fault = False (Condition = True)
Act_Disp_Range_Expand_Fault = True (Condition = False)
Act_Disp_Range_Void_Fault = False (Condition = True)
Contract_Stop_Collection_Complete = True (Condition = True)
Expand_Stop_Collection_Complete = True (Condition = True)
Void_Collection_Complete = True (Condition = True)
for LRU_6 Atype-1.
(MCDC Achieved: T, F, T, T, T, T -&gt; F)</t>
  </si>
  <si>
    <t>STEP 16:
Verifies that in Harmonizing Mode the LRU Software set Primary_Harmonize_Calc = False when,
Act_Disp_Range_Contract_Fault = False (Condition = True)
Act_Disp_Range_Expand_Fault = False (Condition = True)
Act_Disp_Range_Void_Fault = True (Condition = False)
Contract_Stop_Collection_Complete = True (Condition = True)
Expand_Stop_Collection_Complete = True (Condition = True)
Void_Collection_Complete = True (Condition = True)
for LRU_6 Atype-1.
(MCDC Achieved: T, T, F, T,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</si>
  <si>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False (Condition = False)
Expand_Stop_Collection_Complete = True (Condition = True)
Void_Collection_Complete = True (Condition = True)
for LRU_6 Atype-1.
(MCDC Achieved: T, T, T, F,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</si>
  <si>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False (Condition = False)
Void_Collection_Complete = True (Condition = True)
for LRU_6 Atype-1.
(MCDC Achieved: T, T, T, T, F,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</si>
  <si>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False (Condition = False)
for LRU_6 Atype-1.
(MCDC Achieved: T, T, T, T, T, F -&gt; F)</t>
  </si>
  <si>
    <t>STEP 16:
Verifies that in Harmonizing Mode the LRU Software set Primary_Harmonize_Calc = False when,
Act_Disp_Range_Contract_Fault = True
Act_Disp_Range_Expand_Fault = False
Act_Disp_Range_Void_Fault = False
Contract_Stop_Collection_Complete = False
Expand_Stop_Collection_Complete = True
Void_Collection_Complete = True
for LRU_6 Atype-1.</t>
  </si>
  <si>
    <t>STEP 16:
Verifies that in Harmonizing Mode the LRU Software set Primary_Harmonize_Calc = False when,
Act_Disp_Range_Contract_Fault = False
Act_Disp_Range_Expand_Fault = True
Act_Disp_Range_Void_Fault = False
Contract_Stop_Collection_Complete = True
Expand_Stop_Collection_Complete = False
Void_Collection_Complete = True
for LRU_6 Atype-1.</t>
  </si>
  <si>
    <t>STEP 16:
Verifies that in Harmonizing Mode the LRU Software set Primary_Harmonize_Calc = False when,
Act_Disp_Range_Contract_Fault = False
Act_Disp_Range_Expand_Fault = False
Act_Disp_Range_Void_Fault = True
Contract_Stop_Collection_Complete = True
Expand_Stop_Collection_Complete = True
Void_Collection_Complete = False
for LRU_6 Atype-1.</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</si>
  <si>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LRU_7 Atype-1.</t>
  </si>
  <si>
    <t>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LRU_7 Atype-1.</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</si>
  <si>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LRU_7 Atype-1.</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</si>
  <si>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LRU_7 Atype-1.</t>
  </si>
  <si>
    <t>STEP 14a and 14b:
Verifies that in Harmonizing Mode the LRU Software transmit the below on STL_Bus when Act_Disp_Range_Void_Fault = False,
IVT_Receipt_Envelope = 0x0017
IVT_Receipt_Content: Void_Collection_Complete (IVT 2) = True
IVT_Receipt_Content: Harmonizing_Failed (IVT 4) = False
for LRU_7 Atype-1.</t>
  </si>
  <si>
    <t>STEP 14a and 14b:
Verifies that in Harmonizing Mode the LRU Software transmit the below on STL_Bus when Act_Disp_Range_Void_Fault = True,
IVT_Receipt_Envelope = 0x0017
IVT_Receipt_Content: Void_Collection_Complete (IVT 2) = True
IVT_Receipt_Content: Harmonizing_Failed (IVT 4) = True
for LRU_7 Atype-1.</t>
  </si>
  <si>
    <t>STEP 16:
Verifies that in Harmonizing Mode the LRU Software set Primary_Harmonize_Calc = True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True (Condition = True)
for LRU_7 Atype-1.
(MCDC Achieved: T, T, T, T, T, T -&gt; T)</t>
  </si>
  <si>
    <t>STEP 16:
Verifies that in Harmonizing Mode the LRU Software set Primary_Harmonize_Calc = False when,
Act_Disp_Range_Contract_Fault = True (Condition = False)
Act_Disp_Range_Expand_Fault = False (Condition = True)
Act_Disp_Range_Void_Fault = False (Condition = True)
Contract_Stop_Collection_Complete = True (Condition = True)
Expand_Stop_Collection_Complete = True (Condition = True)
Void_Collection_Complete = True (Condition = True)
for LRU_7 Atype-1.
(MCDC Achieved: F, T, T, T, T, T -&gt; F)</t>
  </si>
  <si>
    <t>STEP 16:
Verifies that in Harmonizing Mode the LRU Software set Primary_Harmonize_Calc = False when,
Act_Disp_Range_Contract_Fault = False (Condition = True)
Act_Disp_Range_Expand_Fault = True (Condition = False)
Act_Disp_Range_Void_Fault = False (Condition = True)
Contract_Stop_Collection_Complete = True (Condition = True)
Expand_Stop_Collection_Complete = True (Condition = True)
Void_Collection_Complete = True (Condition = True)
for LRU_7 Atype-1.
(MCDC Achieved: T, F, T, T, T, T -&gt; F)</t>
  </si>
  <si>
    <t>STEP 16:
Verifies that in Harmonizing Mode the LRU Software set Primary_Harmonize_Calc = False when,
Act_Disp_Range_Contract_Fault = False (Condition = True)
Act_Disp_Range_Expand_Fault = False (Condition = True)
Act_Disp_Range_Void_Fault = True (Condition = False)
Contract_Stop_Collection_Complete = True (Condition = True)
Expand_Stop_Collection_Complete = True (Condition = True)
Void_Collection_Complete = True (Condition = True)
for LRU_7 Atype-1.
(MCDC Achieved: T, T, F, T,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</si>
  <si>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False (Condition = False)
Expand_Stop_Collection_Complete = True (Condition = True)
Void_Collection_Complete = True (Condition = True)
for LRU_7 Atype-1.
(MCDC Achieved: T, T, T, F, T,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</si>
  <si>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False (Condition = False)
Void_Collection_Complete = True (Condition = True)
for LRU_7 Atype-1.
(MCDC Achieved: T, T, T, T, F, T -&gt; F)</t>
  </si>
  <si>
    <t>STEP 16:
Verifies that in Harmonizing Mode the LRU Software set Primary_Harmonize_Calc = False when,
Act_Disp_Range_Contract_Fault = False (Condition = True)
Act_Disp_Range_Expand_Fault = False (Condition = True)
Act_Disp_Range_Void_Fault = False (Condition = True)
Contract_Stop_Collection_Complete = True (Condition = True)
Expand_Stop_Collection_Complete = True (Condition = True)
Void_Collection_Complete = False (Condition = False)
for LRU_7 Atype-1.
(MCDC Achieved: T, T, T, T, T, F -&gt; F)</t>
  </si>
  <si>
    <t>STEP 16:
Verifies that in Harmonizing Mode the LRU Software set Primary_Harmonize_Calc = False when,
Act_Disp_Range_Contract_Fault = True
Act_Disp_Range_Expand_Fault = False
Act_Disp_Range_Void_Fault = False
Contract_Stop_Collection_Complete = False
Expand_Stop_Collection_Complete = True
Void_Collection_Complete = True
for LRU_7 Atype-1.</t>
  </si>
  <si>
    <t>STEP 16:
Verifies that in Harmonizing Mode the LRU Software set Primary_Harmonize_Calc = False when,
Act_Disp_Range_Contract_Fault = False
Act_Disp_Range_Expand_Fault = True
Act_Disp_Range_Void_Fault = False
Contract_Stop_Collection_Complete = True
Expand_Stop_Collection_Complete = False
Void_Collection_Complete = True
for LRU_7 Atype-1.</t>
  </si>
  <si>
    <t>STEP 16:
Verifies that in Harmonizing Mode the LRU Software set Primary_Harmonize_Calc = False when,
Act_Disp_Range_Contract_Fault = False
Act_Disp_Range_Expand_Fault = False
Act_Disp_Range_Void_Fault = True
Contract_Stop_Collection_Complete = True
Expand_Stop_Collection_Complete = True
Void_Collection_Complete = False
for LRU_7 Atype-1.</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</si>
  <si>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LRU_3 Atype-1.</t>
  </si>
  <si>
    <t>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LRU_3 Atype-1.</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</si>
  <si>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LRU_3 Atype-1.</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</si>
  <si>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LRU_3 Atype-1.</t>
  </si>
  <si>
    <t>STEP 17:
Verifies that in Harmonizing Mode the LRU Software set Spoiler_Harmonize_Calc = True when,
Act_Disp_Range_Contract_Fault = False (Condition = True)
Act_Disp_Range_Expand_Fault = False (Condition = True)
Contract_Stop_Collection_Complete = True (Condition = True)
Expand_Stop_Collection_Complete = True (Condition = True)
for LRU_3 Atype-1.
(MCDC Achieved: T, T, T, T -&gt; T)</t>
  </si>
  <si>
    <t>STEP 17:
Verifies that in Harmonizing Mode the LRU Software set Spoiler_Harmonize_Calc = False when,
Act_Disp_Range_Contract_Fault = True (Condition = False)
Act_Disp_Range_Expand_Fault = False (Condition = True)
Contract_Stop_Collection_Complete = True (Condition = True)
Expand_Stop_Collection_Complete = True (Condition = True)
for LRU_3 Atype-1.
(MCDC Achieved: F, T, T, T -&gt; F)</t>
  </si>
  <si>
    <t>STEP 17:
Verifies that in Harmonizing Mode the LRU Software set Spoiler_Harmonize_Calc = False when,
Act_Disp_Range_Contract_Fault = False (Condition = True)
Act_Disp_Range_Expand_Fault = True (Condition = False)
Contract_Stop_Collection_Complete = True (Condition = True)
Expand_Stop_Collection_Complete = True (Condition = True)
for LRU_3 Atype-1.
(MCDC Achieved: T, F, T, T -&gt; F)</t>
  </si>
  <si>
    <t>STEP 17:
Verifies that in Harmonizing Mode the LRU Software set Spoiler_Harmonize_Calc = False when,
Act_Disp_Range_Contract_Fault = False (Condition = True)
Act_Disp_Range_Expand_Fault = False (Condition = True)
Contract_Stop_Collection_Complete = False (Condition = False)
Expand_Stop_Collection_Complete = True (Condition = True)
for LRU_3 Atype-1.
(MCDC Achieved: T, T, F, T -&gt; F)</t>
  </si>
  <si>
    <t>STEP 17:
Verifies that in Harmonizing Mode the LRU Software set Spoiler_Harmonize_Calc = False when,
Act_Disp_Range_Contract_Fault = False (Condition = True)
Act_Disp_Range_Expand_Fault = False (Condition = True)
Contract_Stop_Collection_Complete = True (Condition = True)
Expand_Stop_Collection_Complete = False (Condition = False)
for LRU_3 Atype-1.
(MCDC Achieved: T, T, T, F -&gt; F)</t>
  </si>
  <si>
    <t>STEP 17:
Verifies that in Harmonizing Mode the LRU Software set Spoiler_Harmonize_Calc = False when,
Act_Disp_Range_Contract_Fault = True
Act_Disp_Range_Expand_Fault = False
Contract_Stop_Collection_Complete = False
Expand_Stop_Collection_Complete = True
for LRU_3 Atype-1.</t>
  </si>
  <si>
    <t>STEP 17:
Verifies that in Harmonizing Mode the LRU Software set Spoiler_Harmonize_Calc = False when,
Act_Disp_Range_Contract_Fault = False
Act_Disp_Range_Expand_Fault = True
Contract_Stop_Collection_Complete = True
Expand_Stop_Collection_Complete = False
for LRU_3 Atype-1.</t>
  </si>
  <si>
    <t>STEP 4a and 4b:
Verifies that in Harmonizing Mode the LRU Software transmit the below on STL_Bus when Act_Disp_Range_Contract_Fault = False,
IVT_Receipt_Envelope = 0x0017
IVT_Receipt_Content: Contract_Stop_Collecton_Complete (IVT 0) = True
IVT_Receipt_Content: Harmonizing_Failed (IVT 4) = False
for LRU_4 Atype-1.</t>
  </si>
  <si>
    <t>STEP 4a and 4b:
Verifies that in Harmonizing Mode the LRU Software transmit the below on STL_Bus when Act_Disp_Range_Contract_Fault = True,
IVT_Receipt_Envelope = 0x0017
IVT_Receipt_Content: Contract_Stop_Collecton_Complete (IVT 0) = True
IVT_Receipt_Content: Harmonizing_Failed (IVT 4) = True
for LRU_4 Atype-1.</t>
  </si>
  <si>
    <t>STEP 9a and 9b:
Verifies that in Harmonizing Mode the LRU Software transmit the below on STL_Bus when Act_Disp_Range_Expand_Fault = False,
IVT_Receipt_Envelope = 0x0017
IVT_Receipt_Content: Expand_Stop_Collection_Complete (IVT 1) = True
IVT_Receipt_Content: Harmonizing_Failed (IVT 4) = False
for LRU_4 Atype-1.</t>
  </si>
  <si>
    <t>STEP 9a and 9b:
Verifies that in Harmonizing Mode the LRU Software transmit the below on STL_Bus when Act_Disp_Range_Expand_Fault = True,
IVT_Receipt_Envelope = 0x0017
IVT_Receipt_Content: Expand_Stop_Collection_Complete (IVT 1) = True
IVT_Receipt_Content: Harmonizing_Failed (IVT 4) = True
for LRU_4 Atype-1.</t>
  </si>
  <si>
    <t>STEP 17:
Verifies that in Harmonizing Mode the LRU Software set Spoiler_Harmonize_Calc = True when,
Act_Disp_Range_Contract_Fault = False (Condition = True)
Act_Disp_Range_Expand_Fault = False (Condition = True)
Contract_Stop_Collection_Complete = True (Condition = True)
Expand_Stop_Collection_Complete = True (Condition = True)
for LRU_4 Atype-1.
(MCDC Achieved: T, T, T, T -&gt; T)</t>
  </si>
  <si>
    <t>STEP 17:
Verifies that in Harmonizing Mode the LRU Software set Spoiler_Harmonize_Calc = False when,
Act_Disp_Range_Contract_Fault = True (Condition = False)
Act_Disp_Range_Expand_Fault = False (Condition = True)
Contract_Stop_Collection_Complete = True (Condition = True)
Expand_Stop_Collection_Complete = True (Condition = True)
for LRU_4 Atype-1.
(MCDC Achieved: F, T, T, T -&gt; F)</t>
  </si>
  <si>
    <t>STEP 17:
Verifies that in Harmonizing Mode the LRU Software set Spoiler_Harmonize_Calc = False when,
Act_Disp_Range_Contract_Fault = False (Condition = True)
Act_Disp_Range_Expand_Fault = True (Condition = False)
Contract_Stop_Collection_Complete = True (Condition = True)
Expand_Stop_Collection_Complete = True (Condition = True)
for LRU_4 Atype-1.
(MCDC Achieved: T, F, T, T -&gt; F)</t>
  </si>
  <si>
    <t>STEP 17:
Verifies that in Harmonizing Mode the LRU Software set Spoiler_Harmonize_Calc = False when,
Act_Disp_Range_Contract_Fault = False (Condition = True)
Act_Disp_Range_Expand_Fault = False (Condition = True)
Contract_Stop_Collection_Complete = False (Condition = False)
Expand_Stop_Collection_Complete = True (Condition = True)
for LRU_4 Atype-1.
(MCDC Achieved: T, T, F, T -&gt; F)</t>
  </si>
  <si>
    <t>STEP 17:
Verifies that in Harmonizing Mode the LRU Software set Spoiler_Harmonize_Calc = False when,
Act_Disp_Range_Contract_Fault = False (Condition = True)
Act_Disp_Range_Expand_Fault = False (Condition = True)
Contract_Stop_Collection_Complete = True (Condition = True)
Expand_Stop_Collection_Complete = False (Condition = False)
for LRU_4 Atype-1.
(MCDC Achieved: T, T, T, F -&gt; F)</t>
  </si>
  <si>
    <t>STEP 17:
Verifies that in Harmonizing Mode the LRU Software set Spoiler_Harmonize_Calc = False when,
Act_Disp_Range_Contract_Fault = True
Act_Disp_Range_Expand_Fault = False
Contract_Stop_Collection_Complete = False
Expand_Stop_Collection_Complete = True
for LRU_4 Atype-1.</t>
  </si>
  <si>
    <t>STEP 17:
Verifies that in Harmonizing Mode the LRU Software set Spoiler_Harmonize_Calc = False when,
Act_Disp_Range_Contract_Fault = False
Act_Disp_Range_Expand_Fault = True
Contract_Stop_Collection_Complete = True
Expand_Stop_Collection_Complete = False
for LRU_4 Atype-1.</t>
  </si>
  <si>
    <t>Verifies the LRU software does not initializes the signals listed below when IVT_Mode_ModeLgc is True AND Harmonizing_Active_STL is False:
Contract_Stop_Collection_Complete,
Expand_Stop_Collection_Complete,
Void_Collection_Complete,
Harmonizing_Complete,
Harmonizing_Failed,
Act_Disp_Range_Contract_Fault,
Act_Disp_Range_Expand_Fault and
Act_Disp_Range_Void_Fault
(MCDC Achieved: T, F-&gt; F)</t>
  </si>
  <si>
    <t xml:space="preserve">Contract_Stop_Collection_Complete = True
Expand_Stop_Collection_Complete = True
Void_Collection_Complete = True
Harmonizing_Complete = True
Harmonizing_Failed = True
Act_Disp_Range_Contract_Fault = True
Act_Disp_Range_Expand_Fault = True
Act_Disp_Range_Void_Fault = True
</t>
  </si>
  <si>
    <t>Verifies the LRU software does not initializes the signals listed below when IVT_Mode_ModeLgc is False AND Harmonizing_Active_STL transitions to True:
Contract_Stop_Collection_Complete,
Expand_Stop_Collection_Complete,
Void_Collection_Complete,
Harmonizing_Complete,
Harmonizing_Failed,
Act_Disp_Range_Contract_Fault,
Act_Disp_Range_Expand_Fault and
Act_Disp_Range_Void_Fault
(MCDC Achieved: F, T-&gt; F)</t>
  </si>
  <si>
    <t>This test case verifies only the 'transmission of Electronic Harmonizing Result on the MCDL MCE_LRU_2 Bus' part of LRUSWDD-2728.</t>
  </si>
  <si>
    <t>For LRUSWRS-1001, STEP 32,
"Report Harmonizing_Failed to LRU_2 on the STL_Bus depending on Harmonizing_PSR_Data_Fault"  part of the SWRS is being verified in this test case.</t>
  </si>
  <si>
    <t>For LRUSWRS-1001, STEP 32,
"Report Harmonizing_Failed to LRU_2 on the STL_Bus depending on Harmonizing_PSR_Data_Fault"  part of the SWRS is being verified in this test case.
TEST OUTLINE:
1) Set LRU Configuration as per Initial Conditions.
2) Initiate and Complete Electronic Harmonizing for Aileron using TCS script, Sample_1_Aileron.tcs.
3) Set m_bCorrupt_PSR_Harmonizing_SIVT_Fault_Init to fail CRC calculation and set Harmonizing_PSR_Data_Fault = True.
4) Verify IVT_Receipt_Envelope and IVT_Receipt_Content as per expected results.</t>
  </si>
  <si>
    <t>For LRUSWRS-1001, STEP 32,
"Report Harmonizing_Failed to LRU_2 on the STL_Bus depending on Harmonizing_PSR_Data_Fault"  part of the SWRS is being verified in this test case.
TEST OUTLINE:
1) Set LRU Configuration as per Initial Conditions.
2) Initiate and Complete Electronic Harmonizing for Elevator using TCS script, Sample_1_Elevator.tcs.
3) Set m_bCorrupt_PSR_Harmonizing_SIVT_Fault_Init to fail CRC calculation and set Harmonizing_PSR_Data_Fault = True.
4) Verify IVT_Receipt_Envelope and IVT_Receipt_Content as per expected results.</t>
  </si>
  <si>
    <t>For LRUSWRS-1001, STEP 32,
"Report Harmonizing_Failed to LRU_2 on the STL_Bus depending on Harmonizing_PSR_Data_Fault"  part of the SWRS is being verified in this test case.
TEST OUTLINE:
1) Set LRU Configuration as per Initial Conditions.
2) Initiate and Complete Electronic Harmonizing for Rudder using TCS script, Sample_1_Rudder.tcs.
3) Set m_bCorrupt_PSR_Harmonizing_SIVT_Fault_Init to fail CRC calculation and set Harmonizing_PSR_Data_Fault = True.
4) Verify IVT_Receipt_Envelope and IVT_Receipt_Content as per expected results.</t>
  </si>
  <si>
    <t>For LRUSWRS-1001, STEP 32,
"Report Harmonizing_Failed to LRU_2 on the STL_Bus depending on Harmonizing_PSR_Data_Fault"  part of the SWRS is being verified in this test case.
TEST OUTLINE:
1) Set LRU Configuration as per Initial Conditions.
2) Initiate and Complete Electronic Harmonizing for Spoiler using TCS script, Sample_1_Spoiler.tcs.
3) Set m_bCorrupt_PSR_Harmonizing_SIVT_Fault_Init to fail CRC calculation and set Harmonizing_PSR_Data_Fault = True.
4) Verify IVT_Receipt_Envelope and IVT_Receipt_Content as per expected results.</t>
  </si>
  <si>
    <t>Comment</t>
  </si>
  <si>
    <t>TC_1</t>
  </si>
  <si>
    <t>Tc_2</t>
  </si>
  <si>
    <t>Missing  counter of 10 cycles for all TC's</t>
  </si>
  <si>
    <t>TC_3</t>
  </si>
  <si>
    <t>TC_4</t>
  </si>
  <si>
    <t>change of counter and value is not shown in the input</t>
  </si>
  <si>
    <t>Missing TC</t>
  </si>
  <si>
    <t>TC1</t>
  </si>
  <si>
    <t>TC2</t>
  </si>
  <si>
    <t>Expected output is wrong</t>
  </si>
  <si>
    <t>TC3</t>
  </si>
  <si>
    <t>Harmonizing_Failed should be 0
TC4 and TC5 is redundent and not sure what purpose it is generated with same condition</t>
  </si>
  <si>
    <t>TC_2</t>
  </si>
  <si>
    <t>Expected output is wrong and tagged as robustness, why</t>
  </si>
  <si>
    <t>TC2 is tagged as robustness ?</t>
  </si>
  <si>
    <t>Input and expected variable are different. Req table Not read by the tool</t>
  </si>
  <si>
    <t>TC_02</t>
  </si>
  <si>
    <t>Robustness is tagged</t>
  </si>
  <si>
    <t>TC01</t>
  </si>
  <si>
    <t>Improvement expected in the AI tool</t>
  </si>
  <si>
    <t>Iteration 1</t>
  </si>
  <si>
    <t>Correct/InCorrect</t>
  </si>
  <si>
    <t>InCorrect TC</t>
  </si>
  <si>
    <t>identification of Initial conditions is missing</t>
  </si>
  <si>
    <t>AI tool output shall be in Xls sheet with each worksheet w.r.t req</t>
  </si>
  <si>
    <t>In Test cases expected output toggling is not seen from previous TC to next TC</t>
  </si>
  <si>
    <t>Multiple requirement combined Test case is not generating by AI tool</t>
  </si>
  <si>
    <t>AI Tool TC mapping</t>
  </si>
  <si>
    <t>Correct TC</t>
  </si>
  <si>
    <t>Total no of requirements considered by tool</t>
  </si>
  <si>
    <t>In many testcase the robustness is tagged but the value is within the limit</t>
  </si>
  <si>
    <t>Expected output is wrong and tagged as robustness</t>
  </si>
  <si>
    <t>AI tool not able to understand the sequence of requirements. All the requirements are considered independent and generating the output only for that requirement</t>
  </si>
  <si>
    <t>Total no. of requirements</t>
  </si>
  <si>
    <t>AI Tool Efficiency (%)</t>
  </si>
  <si>
    <t>Iteration 2</t>
  </si>
  <si>
    <t xml:space="preserve">Total no. of requirements </t>
  </si>
  <si>
    <t>Effiecieny of AI tool</t>
  </si>
  <si>
    <t>Previous AI Tool TC mapping</t>
  </si>
  <si>
    <t>Previously provided Comment</t>
  </si>
  <si>
    <t>New AI Tool TC mapping</t>
  </si>
  <si>
    <t>Current Review commets</t>
  </si>
  <si>
    <t>LRUSWRS_1003_001</t>
  </si>
  <si>
    <t>Suggestion: you can rename precondition field in AI Generated case as Test Inputs.</t>
  </si>
  <si>
    <t>LRUSWRS-1003_N1</t>
  </si>
  <si>
    <t>Looks okay</t>
  </si>
  <si>
    <t>LRUSWRS_1003_004</t>
  </si>
  <si>
    <t xml:space="preserve">Missing  info of 10 consecutive cycles </t>
  </si>
  <si>
    <t>LRUSWRS-1003_DC_IVT</t>
  </si>
  <si>
    <t>LRUSWRS_1003_003</t>
  </si>
  <si>
    <t>LRUSWRS-1003_DC_HARM</t>
  </si>
  <si>
    <t>LRUSWRS_1004_001</t>
  </si>
  <si>
    <t>1.Expected results just say all the signals , it should explicitly mention all the expected variables in Expected result and even in the initial condition
2. LRU configuration info is missing
Same test case has been repeated in Requirement 1.txt and Requirement 3.txt</t>
  </si>
  <si>
    <t>LRUSWRS-1004_N1_Aileron</t>
  </si>
  <si>
    <t>Suggestion: We cannot leave the initial conditions as None. We need to provide appropriate values to demonstrate the change in the expected results</t>
  </si>
  <si>
    <t>Incorrect TC</t>
  </si>
  <si>
    <t>LRU confiuration  needs o be considered</t>
  </si>
  <si>
    <t xml:space="preserve"> The same concern still exists and LRU confiuration  needs o be considered. This is missing again.</t>
  </si>
  <si>
    <t>LRUSWRS-1004_N1_Elevator</t>
  </si>
  <si>
    <t xml:space="preserve"> The same concern still exists and LRU confiuration  needs o be considered. This case is  missing again.</t>
  </si>
  <si>
    <t>LRUSWRS-1004_N1_Rudder</t>
  </si>
  <si>
    <t>Same test case has been repeated in Requirement 1.txt and Requirement 3.txt</t>
  </si>
  <si>
    <t>LRUSWRS-1004_N1_Spoiler</t>
  </si>
  <si>
    <t>Harmonizing_Active_STL = True is true for 9 consecutive Cycle but how about other 2 consecutive cycles per Parker Test case,this information is missing in AI Case</t>
  </si>
  <si>
    <t>LRUSWRS-1003_B2", The same concern still exists ,
"Harmonizing_Active_STL = True is true for 9 consecutive Cycle but how about other 2 consecutive cycles per Parker Test case,this information is missing in AI Case"</t>
  </si>
  <si>
    <t>Improvement required: Parker test case providing the inputs for the varaible   Harmonizing_Active_ST as mentioned below:
Harmonizing_Active_STL = True  for first 5 consecutive STL frames.
Harmonizing_Active_STL is False for next 4 consecutive STL frames.
Harmonizing_Active_STL = True  for next 10 consecutive STL frames.</t>
  </si>
  <si>
    <t>LRUSWRS-1003_B1, he same concern still exists:
"Improvement required: Parker test case providing the inputs for the varaible   Harmonizing_Active_ST as mentioned below:
Harmonizing_Active_STL = True  for first 5 consecutive STL frames.
Harmonizing_Active_STL is False for next 4 consecutive STL frames.
Harmonizing_Active_STL = True  for next 10 consecutive STL frames."
If the values for the variable Harmonizing_Active_STL are not driven as described above, then there does not appear to be any difference between test case IDs LRUSWRS-1003_B1 and LRUSWRS-1003_N1</t>
  </si>
  <si>
    <t>InCorrect Tc</t>
  </si>
  <si>
    <t>"LRUSWRS-1003_B3: This test case does not match the Parker test case. In this case, if you look at the test inputs, the values for the variable IVT_Mode_ModeLgc are driven differently, being True for 8 frames and False for 2 frames. Additionally, the Harmonizing_Active_STL signal transitions to True and remains True for 10 consecutive STL frames."</t>
  </si>
  <si>
    <t>LRUSWRS-1004-002</t>
  </si>
  <si>
    <t>LRU confiuration  needs o be considered
Initial condtion and expected result should conatin required signals with values
Same test case has been repeated in Requirement 1.txt and Requirement 3.txt</t>
  </si>
  <si>
    <t>LRUSWRS-1004_DC_HARM_Elevator , Many test cases are genearted with different LRUs</t>
  </si>
  <si>
    <t>LRUSWRS_1004_002/LRUSWRS-1004-003</t>
  </si>
  <si>
    <t xml:space="preserve">Initial condtion and expected result should conatin required signals with values
Same test case has been repeated in Requirement 1.txt and Requirement 3.txt
</t>
  </si>
  <si>
    <t>"LRUSWRS-1004_DC_IVT_Rudder</t>
  </si>
  <si>
    <t>Iteration 3</t>
  </si>
  <si>
    <t>LRUSWRS_1006_001</t>
  </si>
  <si>
    <t>Sample_1_Part_1_006
Sample_1_Part_1_037
Sample_1_Part_1_067</t>
  </si>
  <si>
    <t xml:space="preserve">LRUSWRS_1006_002
</t>
  </si>
  <si>
    <t>Sample_1_Part_1_005
Sample_1_Part_1_036
Sample_1_Part_1_066</t>
  </si>
  <si>
    <t>Iteration 4</t>
  </si>
  <si>
    <t>It is written only for harmonizing mode and it has been verified by combining the step 4a and 4b</t>
  </si>
  <si>
    <t>It is written only for harmonizing mode and it has been verified by combining the step 9a and 9b</t>
  </si>
  <si>
    <t>It is written only for harmonizing mode and it has been verified by combining the step 14a and 14b</t>
  </si>
  <si>
    <t>LRU_9891_N1_LRU_1</t>
  </si>
  <si>
    <t>LRU_9891_DC_Act_Disp_Range_VOID_Fault_LRU_1</t>
  </si>
  <si>
    <t>LRU_9891_DC_Act_Disp_Range_Contract_Fault_LRU_1</t>
  </si>
  <si>
    <t>LRU_9891_DC_Act_Disp_Range_Expand_Fault_LRU_1</t>
  </si>
  <si>
    <t>LRU_9891_DC_Contract_Stop_Collection_Complete_LRU_1</t>
  </si>
  <si>
    <t>LRU_9891_DC_Expand_Stop_Collection_Complete_LRU_1</t>
  </si>
  <si>
    <t>LRU_9891_DC_VOID_Collection_Complete_LRU_1</t>
  </si>
  <si>
    <t>Written for LRU 3 and LRU 4</t>
  </si>
  <si>
    <t>Inputs are not matching</t>
  </si>
  <si>
    <t>LRU_9894_N1_LRU_1</t>
  </si>
  <si>
    <t>LRU_9894_DC_Condition_LRU_1</t>
  </si>
  <si>
    <t>Setup to be Harmonzing mode</t>
  </si>
  <si>
    <t>LRU_9239_N1_LRU_1</t>
  </si>
  <si>
    <t>Step 34 is been consisder</t>
  </si>
  <si>
    <t>LRU_9891_N1_LRU_2</t>
  </si>
  <si>
    <t>LRU_9891_DC_Act_Disp_Range_VOID_Fault_LRU_2</t>
  </si>
  <si>
    <t>LRU_9891_DC_Act_Disp_Range_Contract_Fault_LRU_2</t>
  </si>
  <si>
    <t>LRU_9891_DC_Act_Disp_Range_Expand_Fault_LRU_2</t>
  </si>
  <si>
    <t>LRU_9891_DC_Contract_Stop_Collection_Complete_LRU_2</t>
  </si>
  <si>
    <t>LRU_9891_DC_Expand_Stop_Collection_Complete_LRU_2</t>
  </si>
  <si>
    <t>LRU_9891_DC_VOID_Collection_Complete_LRU_2</t>
  </si>
  <si>
    <t>LRU_9249_N1_LRU_2</t>
  </si>
  <si>
    <t>LRU_9249_DC_Condition_LRU_2</t>
  </si>
  <si>
    <t>LRU_9894_N1_LRU_2</t>
  </si>
  <si>
    <t>LRU_9894_DC_Condition_LRU_2</t>
  </si>
  <si>
    <t>Step 34 also need to be consisder</t>
  </si>
  <si>
    <t>LRU_9891_N1_LRU_5</t>
  </si>
  <si>
    <t>LRU_9891_DC_Act_Disp_Range_VOID_Fault_LRU_5</t>
  </si>
  <si>
    <t>LRU_9891_DC_Act_Disp_Range_Contract_Fault_LRU_5</t>
  </si>
  <si>
    <t>LRU_9891_DC_Act_Disp_Range_Expand_Fault_LRU_5</t>
  </si>
  <si>
    <t>LRU_9891_DC_Contract_Stop_Collection_Complete_LRU_5</t>
  </si>
  <si>
    <t>LRU_9891_DC_Expand_Stop_Collection_Complete_LRU_5</t>
  </si>
  <si>
    <t>LRU_9891_DC_VOID_Collection_Complete_LRU_5</t>
  </si>
  <si>
    <t>LRU_9249_N1_LRU_5</t>
  </si>
  <si>
    <t>LRU_9249_DC_Condition_LRU_5</t>
  </si>
  <si>
    <t>LRU_9894_N1_LRU_5</t>
  </si>
  <si>
    <t>LRU_9894_DC_Condition_LRU_5</t>
  </si>
  <si>
    <t>Step 34 need to consisder</t>
  </si>
  <si>
    <t>LRU_9891_N1_LRU_6</t>
  </si>
  <si>
    <t>LRU_9891_DC_Act_Disp_Range_Contract_Fault_LRU_6</t>
  </si>
  <si>
    <t>LRU_9891_DC_Act_Disp_Range_Expand_Fault_LRU_6</t>
  </si>
  <si>
    <t>LRU_9891_DC_Contract_Stop_Collection_Complete_LRU_6</t>
  </si>
  <si>
    <t>LRU_9891_DC_Expand_Stop_Collection_Complete_LRU_6</t>
  </si>
  <si>
    <t>LRU_9891_DC_VOID_Collection_Complete_LRU_6</t>
  </si>
  <si>
    <t>LRU_9249_N1_LRU_6</t>
  </si>
  <si>
    <t>LRU_9249_DC_Condition_LRU_6</t>
  </si>
  <si>
    <t>LRU_9894_N1_LRU_6</t>
  </si>
  <si>
    <t>LRU_9894_DC_Condition_LRU_6</t>
  </si>
  <si>
    <t>the Step 34 need to consisder</t>
  </si>
  <si>
    <t>LRU_9891_N1_LRU_7</t>
  </si>
  <si>
    <t>LRU_9891_DC_Act_Disp_Range_VOID_Fault_LRU_7</t>
  </si>
  <si>
    <t>LRU_9891_DC_Act_Disp_Range_Contract_Fault_LRU_7</t>
  </si>
  <si>
    <t>LRU_9891_DC_Act_Disp_Range_Expand_Fault_LRU_7</t>
  </si>
  <si>
    <t>LRU_9891_DC_Contract_Stop_Collection_Complete_LRU_7</t>
  </si>
  <si>
    <t>LRU_9891_DC_Expand_Stop_Collection_Complete_LRU_7</t>
  </si>
  <si>
    <t>LRU_9891_DC_VOID_Collection_Complete_LRU_7</t>
  </si>
  <si>
    <t>LRU_7 is not availaibleonly available for LRU 3 and LRU 4
LRU_10916_N1_LRU_3
LRU_10916_N1_LRU_4
LRU_10916_DC_Condition_LRU_3
LRU_10916_DC_Condition_LRU_4</t>
  </si>
  <si>
    <t>LRU_10917_N1_LRU_7</t>
  </si>
  <si>
    <t>Atype-2</t>
  </si>
  <si>
    <t>Atype-3</t>
  </si>
  <si>
    <t>LRU_9249_N1_LRU_7</t>
  </si>
  <si>
    <t>LRU_9249_DC_Condition_LRU_7</t>
  </si>
  <si>
    <t>LRU_9894_N1_LRU_7</t>
  </si>
  <si>
    <t>LRU_9894_DC_Condition_LRU_7</t>
  </si>
  <si>
    <t xml:space="preserve">Step 34 also need to be consisder </t>
  </si>
  <si>
    <t>LRU_9892_N1_LRU_3</t>
  </si>
  <si>
    <t>LRU_9892_DC_Act_Disp_Range_Contract_Fault_LRU_3</t>
  </si>
  <si>
    <t>LRU_9892_DC_Act_Disp_Range_Expand_Fault_LRU_3</t>
  </si>
  <si>
    <t>LRU_9892_DC_Contract_Stop_Collection_Complete_LRU_3</t>
  </si>
  <si>
    <t>LRU_9892_DC_Expand_Stop_Collection_Complete_LRU_3</t>
  </si>
  <si>
    <t>Need to write the test for LRU-3 Atype -2</t>
  </si>
  <si>
    <t>Need to write the test for LRU-3 Atype -3</t>
  </si>
  <si>
    <t>LRU_9249_DC_Condition_LRU_3</t>
  </si>
  <si>
    <t>LRU_9249_N1_LRU_3</t>
  </si>
  <si>
    <t>LRU_9894_N1_LRU_3</t>
  </si>
  <si>
    <t>LRU_9894_DC_Condition_LRU_3</t>
  </si>
  <si>
    <t>LRU_9892_N1_LRU_4</t>
  </si>
  <si>
    <t>LRU_9892_DC_Act_Disp_Range_Contract_Fault_LRU_4</t>
  </si>
  <si>
    <t>LRU_9892_DC_Act_Disp_Range_Expand_Fault_LRU_4</t>
  </si>
  <si>
    <t>LRU_9892_DC_Contract_Stop_Collection_Complete_LRU_4</t>
  </si>
  <si>
    <t>LRU_9892_DC_Expand_Stop_Collection_Complete_LRU_4</t>
  </si>
  <si>
    <t>Needto write  for LRU-4 Atype-2</t>
  </si>
  <si>
    <t>Needto write  for LRU-4 Atype-3</t>
  </si>
  <si>
    <t>LRU_9249_N1_LRU_4</t>
  </si>
  <si>
    <t>LRU_9249_DC_Condition_LRU_4</t>
  </si>
  <si>
    <t>LRU_9894_N1_LRU_4</t>
  </si>
  <si>
    <t>LRU_9894_DC_Condition_LRU_4</t>
  </si>
  <si>
    <t xml:space="preserve">Need to consisder the step 34 </t>
  </si>
  <si>
    <t>Need to cnsider the LRU 1 Type 2</t>
  </si>
  <si>
    <t>Need to cnsider the LRU 1 Type 3</t>
  </si>
  <si>
    <t>Need to cnsider the LRU 2 Type 2</t>
  </si>
  <si>
    <t>Need to cnsider the LRU 2 Type 3</t>
  </si>
  <si>
    <t>Need to cnsider the LRU 5 Type 2</t>
  </si>
  <si>
    <t>Need to cnsider the LRU 5 Type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</si>
</sst>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scheme val="minor"/>
    </font>
    <font>
      <b/>
      <sz val="1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wrapText="1"/>
    </xf>
    <xf numFmtId="0" fontId="2" fillId="2" borderId="1" xfId="0" applyFont="1" applyFill="1" applyBorder="1"/>
    <xf numFmtId="0" fontId="2" fillId="2" borderId="1" xfId="0" applyFont="1" applyFill="1" applyBorder="1" applyAlignment="1">
      <alignment wrapText="1"/>
    </xf>
    <xf numFmtId="0" fontId="0" fillId="0" borderId="1" xfId="0" applyBorder="1"/>
    <xf numFmtId="0" fontId="0" fillId="3" borderId="1" xfId="0" applyFill="1" applyBorder="1"/>
    <xf numFmtId="0" fontId="0" fillId="2" borderId="1" xfId="0" applyFill="1" applyBorder="1"/>
    <xf numFmtId="0" fontId="0" fillId="0" borderId="0" xfId="0" applyAlignment="1">
      <alignment horizontal="center" vertical="center"/>
    </xf>
    <xf numFmtId="0" fontId="1" fillId="4" borderId="1" xfId="0" applyFont="1" applyFill="1" applyBorder="1" applyAlignment="1">
      <alignment horizontal="left" vertical="top" wrapText="1"/>
    </xf>
    <xf numFmtId="0" fontId="1" fillId="4" borderId="1" xfId="0" quotePrefix="1" applyFont="1" applyFill="1" applyBorder="1" applyAlignment="1">
      <alignment horizontal="left" vertical="top" wrapText="1"/>
    </xf>
    <xf numFmtId="0" fontId="0" fillId="4" borderId="0" xfId="0" applyFill="1" applyAlignment="1">
      <alignment horizontal="left" vertical="top" wrapText="1"/>
    </xf>
    <xf numFmtId="0" fontId="0" fillId="4" borderId="1" xfId="0" applyFill="1" applyBorder="1" applyAlignment="1">
      <alignment horizontal="left" vertical="top" wrapText="1"/>
    </xf>
    <xf numFmtId="0" fontId="0" fillId="4" borderId="1" xfId="0" applyFill="1" applyBorder="1" applyAlignment="1">
      <alignment horizontal="left" vertical="top"/>
    </xf>
    <xf numFmtId="0" fontId="1" fillId="5" borderId="1" xfId="0" applyFont="1" applyFill="1" applyBorder="1" applyAlignment="1">
      <alignment horizontal="left" vertical="top" wrapText="1"/>
    </xf>
    <xf numFmtId="0" fontId="4" fillId="3" borderId="0" xfId="0" applyFont="1" applyFill="1"/>
    <xf numFmtId="0" fontId="4" fillId="4" borderId="1" xfId="0" applyFont="1" applyFill="1" applyBorder="1" applyAlignment="1">
      <alignment horizontal="left" vertical="top" wrapText="1"/>
    </xf>
    <xf numFmtId="9" fontId="4" fillId="4" borderId="1" xfId="1" applyFont="1" applyFill="1" applyBorder="1" applyAlignment="1">
      <alignment horizontal="left" vertical="top" wrapText="1"/>
    </xf>
    <xf numFmtId="0" fontId="4" fillId="3" borderId="1" xfId="0" applyFont="1" applyFill="1" applyBorder="1" applyAlignment="1">
      <alignment horizontal="left" vertical="top" wrapText="1"/>
    </xf>
    <xf numFmtId="0" fontId="0" fillId="0" borderId="2" xfId="0" applyBorder="1" applyAlignment="1">
      <alignment vertical="top"/>
    </xf>
  </cellXfs>
  <cellStyles count="2">
    <cellStyle name="Normal" xfId="0" builtinId="0"/>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dimension ref="A1:Y531"/>
  <sheetViews>
    <sheetView tabSelected="1" topLeftCell="B257" zoomScale="70" zoomScaleNormal="70" workbookViewId="0">
      <selection activeCell="B259" sqref="B259"/>
    </sheetView>
  </sheetViews>
  <sheetFormatPr defaultColWidth="9.140625" defaultRowHeight="15" x14ac:dyDescent="0.25"/>
  <cols>
    <col min="1" max="1" width="27.140625" style="12" customWidth="1"/>
    <col min="2" max="2" width="85.42578125" style="12" customWidth="1"/>
    <col min="3" max="3" width="21" style="12" customWidth="1"/>
    <col min="4" max="4" width="9.7109375" style="12" bestFit="1" customWidth="1"/>
    <col min="5" max="5" width="46.28515625" style="12" customWidth="1"/>
    <col min="6" max="6" width="51.42578125" style="12" hidden="1" customWidth="1"/>
    <col min="7" max="7" width="50" style="12" hidden="1" customWidth="1"/>
    <col min="8" max="8" width="34.42578125" style="12" hidden="1" customWidth="1"/>
    <col min="9" max="9" width="23.28515625" style="12" hidden="1" customWidth="1"/>
    <col min="10" max="10" width="72.140625" style="12" hidden="1" customWidth="1"/>
    <col min="11" max="11" width="9.140625" style="12"/>
    <col min="12" max="12" width="30" style="13" hidden="1" customWidth="1"/>
    <col min="13" max="13" width="18.140625" style="13" hidden="1" customWidth="1"/>
    <col min="14" max="14" width="43" style="13" hidden="1" customWidth="1"/>
    <col min="15" max="15" width="30" style="13" hidden="1" customWidth="1"/>
    <col min="16" max="16" width="22.28515625" style="13" hidden="1" customWidth="1"/>
    <col min="17" max="20" width="43" style="13" hidden="1" customWidth="1"/>
    <col min="21" max="21" width="28.5703125" style="12" customWidth="1"/>
    <col min="22" max="22" width="29.5703125" style="12" customWidth="1"/>
    <col min="23" max="23" width="31.140625" style="12" customWidth="1"/>
    <col min="24" max="16384" width="9.140625" style="12"/>
  </cols>
  <sheetData>
    <row r="1" spans="1:25" x14ac:dyDescent="0.25">
      <c r="L1" s="12"/>
      <c r="M1" s="19" t="s">
        <v>1645</v>
      </c>
      <c r="O1" s="12"/>
      <c r="P1" s="19" t="s">
        <v>1660</v>
      </c>
      <c r="R1" s="12"/>
      <c r="S1" s="19" t="s">
        <v>1700</v>
      </c>
      <c r="V1" s="19" t="s">
        <v>1705</v>
      </c>
      <c r="Y1" s="13"/>
    </row>
    <row r="2" spans="1:25" x14ac:dyDescent="0.25">
      <c r="L2" s="13" t="s">
        <v>1658</v>
      </c>
      <c r="M2" s="13">
        <v>6</v>
      </c>
      <c r="O2" s="13" t="s">
        <v>1661</v>
      </c>
      <c r="P2" s="13">
        <v>6</v>
      </c>
      <c r="R2" s="13" t="s">
        <v>1661</v>
      </c>
      <c r="S2" s="13">
        <v>6</v>
      </c>
      <c r="U2" s="13" t="s">
        <v>1661</v>
      </c>
      <c r="V2" s="13">
        <v>6</v>
      </c>
      <c r="Y2" s="13"/>
    </row>
    <row r="3" spans="1:25" ht="105" x14ac:dyDescent="0.25">
      <c r="L3" s="13" t="s">
        <v>1654</v>
      </c>
      <c r="M3" s="13">
        <v>6</v>
      </c>
      <c r="O3" s="13" t="s">
        <v>1654</v>
      </c>
      <c r="P3" s="13">
        <v>6</v>
      </c>
      <c r="R3" s="13" t="s">
        <v>1654</v>
      </c>
      <c r="S3" s="13">
        <v>6</v>
      </c>
      <c r="U3" s="13" t="s">
        <v>1654</v>
      </c>
      <c r="V3" s="13">
        <v>6</v>
      </c>
      <c r="W3" s="13"/>
    </row>
    <row r="4" spans="1:25" ht="30" x14ac:dyDescent="0.25">
      <c r="L4" s="13" t="s">
        <v>1653</v>
      </c>
      <c r="M4" s="13">
        <f>COUNTIFS($L:$L,$L4)-1</f>
        <v>11</v>
      </c>
      <c r="O4" s="13" t="s">
        <v>1653</v>
      </c>
      <c r="P4" s="13">
        <f>COUNTIFS($O:$O,$L4)-1</f>
        <v>5</v>
      </c>
      <c r="R4" s="13" t="s">
        <v>1653</v>
      </c>
      <c r="S4" s="13">
        <f>COUNTIFS($R:$R,$L4)-1</f>
        <v>10</v>
      </c>
      <c r="U4" s="13" t="s">
        <v>1653</v>
      </c>
      <c r="V4" s="13">
        <v>10</v>
      </c>
      <c r="W4" s="13"/>
    </row>
    <row r="5" spans="1:25" ht="30" x14ac:dyDescent="0.25">
      <c r="L5" s="13" t="s">
        <v>1647</v>
      </c>
      <c r="M5" s="13">
        <f>COUNTIFS($L:$L,$L5)-1</f>
        <v>510</v>
      </c>
      <c r="O5" s="13" t="s">
        <v>1647</v>
      </c>
      <c r="P5" s="13">
        <f>COUNTIFS($O:$O,$L5)-1</f>
        <v>516</v>
      </c>
      <c r="R5" s="13" t="s">
        <v>1647</v>
      </c>
      <c r="S5" s="13">
        <f>COUNTIFS($R:$R,$L5)-1</f>
        <v>498</v>
      </c>
      <c r="U5" s="13" t="s">
        <v>1647</v>
      </c>
      <c r="V5" s="13">
        <v>498</v>
      </c>
      <c r="W5" s="13"/>
    </row>
    <row r="6" spans="1:25" ht="45" x14ac:dyDescent="0.25">
      <c r="L6" s="17" t="s">
        <v>1659</v>
      </c>
      <c r="M6" s="18">
        <f>M4/(M4+M5)</f>
        <v>2.1113243761996161E-2</v>
      </c>
      <c r="O6" s="17" t="s">
        <v>1662</v>
      </c>
      <c r="P6" s="18">
        <f>P4/(P4+P5)</f>
        <v>9.5969289827255271E-3</v>
      </c>
      <c r="R6" s="17" t="s">
        <v>1662</v>
      </c>
      <c r="S6" s="18">
        <f>S4/(S4+S5)</f>
        <v>1.968503937007874E-2</v>
      </c>
      <c r="U6" s="17" t="s">
        <v>1662</v>
      </c>
      <c r="V6" s="18">
        <v>1.968503937007874E-2</v>
      </c>
      <c r="W6" s="13"/>
    </row>
    <row r="7" spans="1:25" x14ac:dyDescent="0.25">
      <c r="U7" s="13"/>
      <c r="V7" s="13"/>
      <c r="W7" s="13"/>
    </row>
    <row r="8" spans="1:25" ht="45" x14ac:dyDescent="0.25">
      <c r="A8" s="15" t="s">
        <v>9</v>
      </c>
      <c r="B8" s="15" t="s">
        <v>6</v>
      </c>
      <c r="C8" s="15" t="s">
        <v>5</v>
      </c>
      <c r="D8" s="15" t="s">
        <v>0</v>
      </c>
      <c r="E8" s="15" t="s">
        <v>1</v>
      </c>
      <c r="F8" s="15" t="s">
        <v>2</v>
      </c>
      <c r="G8" s="15" t="s">
        <v>3</v>
      </c>
      <c r="H8" s="15" t="s">
        <v>4</v>
      </c>
      <c r="I8" s="15" t="s">
        <v>7</v>
      </c>
      <c r="J8" s="15" t="s">
        <v>10</v>
      </c>
      <c r="L8" s="15" t="s">
        <v>1646</v>
      </c>
      <c r="M8" s="15" t="s">
        <v>1652</v>
      </c>
      <c r="N8" s="15" t="s">
        <v>1624</v>
      </c>
      <c r="O8" s="15" t="s">
        <v>1646</v>
      </c>
      <c r="P8" s="15" t="s">
        <v>1663</v>
      </c>
      <c r="Q8" s="15" t="s">
        <v>1664</v>
      </c>
      <c r="R8" s="15"/>
      <c r="S8" s="15" t="s">
        <v>1665</v>
      </c>
      <c r="T8" s="15" t="s">
        <v>1666</v>
      </c>
      <c r="U8" s="15"/>
      <c r="V8" s="15" t="s">
        <v>1665</v>
      </c>
      <c r="W8" s="15" t="s">
        <v>1666</v>
      </c>
    </row>
    <row r="9" spans="1:25" ht="90" hidden="1" x14ac:dyDescent="0.25">
      <c r="A9" s="13" t="s">
        <v>291</v>
      </c>
      <c r="B9" s="10" t="s">
        <v>909</v>
      </c>
      <c r="C9" s="10" t="s">
        <v>1179</v>
      </c>
      <c r="D9" s="10" t="s">
        <v>57</v>
      </c>
      <c r="E9" s="14" t="s">
        <v>109</v>
      </c>
      <c r="F9" s="13" t="s">
        <v>910</v>
      </c>
      <c r="G9" s="13" t="s">
        <v>812</v>
      </c>
      <c r="H9" s="11" t="s">
        <v>65</v>
      </c>
      <c r="I9" s="10" t="s">
        <v>1189</v>
      </c>
      <c r="J9" s="10" t="s">
        <v>863</v>
      </c>
      <c r="L9" s="13" t="s">
        <v>1647</v>
      </c>
      <c r="M9" s="13" t="s">
        <v>1629</v>
      </c>
      <c r="N9" s="13" t="s">
        <v>1627</v>
      </c>
      <c r="O9" s="13" t="s">
        <v>1653</v>
      </c>
      <c r="P9" s="13" t="s">
        <v>1667</v>
      </c>
      <c r="Q9" s="13" t="s">
        <v>1668</v>
      </c>
      <c r="R9" s="13" t="s">
        <v>1653</v>
      </c>
      <c r="S9" s="13" t="s">
        <v>1669</v>
      </c>
      <c r="T9" s="13" t="s">
        <v>1670</v>
      </c>
      <c r="U9" s="13" t="s">
        <v>1647</v>
      </c>
      <c r="V9" s="13" t="s">
        <v>1631</v>
      </c>
      <c r="W9" s="13"/>
    </row>
    <row r="10" spans="1:25" ht="75" hidden="1" x14ac:dyDescent="0.25">
      <c r="A10" s="13" t="s">
        <v>292</v>
      </c>
      <c r="B10" s="10" t="s">
        <v>911</v>
      </c>
      <c r="C10" s="10" t="s">
        <v>1179</v>
      </c>
      <c r="D10" s="10" t="s">
        <v>57</v>
      </c>
      <c r="E10" s="13" t="s">
        <v>109</v>
      </c>
      <c r="F10" s="13" t="s">
        <v>912</v>
      </c>
      <c r="G10" s="13" t="s">
        <v>813</v>
      </c>
      <c r="H10" s="11" t="s">
        <v>65</v>
      </c>
      <c r="I10" s="10" t="s">
        <v>1189</v>
      </c>
      <c r="J10" s="10" t="s">
        <v>864</v>
      </c>
      <c r="L10" s="13" t="s">
        <v>1647</v>
      </c>
      <c r="M10" s="13" t="s">
        <v>1625</v>
      </c>
      <c r="N10" s="13" t="s">
        <v>1627</v>
      </c>
      <c r="O10" s="13" t="s">
        <v>1647</v>
      </c>
      <c r="P10" s="13" t="s">
        <v>1671</v>
      </c>
      <c r="Q10" s="13" t="s">
        <v>1672</v>
      </c>
      <c r="R10" s="13" t="s">
        <v>1653</v>
      </c>
      <c r="S10" s="13" t="s">
        <v>1673</v>
      </c>
      <c r="T10" s="13" t="s">
        <v>1670</v>
      </c>
      <c r="U10" s="13" t="s">
        <v>1647</v>
      </c>
      <c r="V10" s="13" t="s">
        <v>1631</v>
      </c>
      <c r="W10" s="13"/>
    </row>
    <row r="11" spans="1:25" ht="75" hidden="1" x14ac:dyDescent="0.25">
      <c r="A11" s="13" t="s">
        <v>293</v>
      </c>
      <c r="B11" s="10" t="s">
        <v>913</v>
      </c>
      <c r="C11" s="10" t="s">
        <v>1179</v>
      </c>
      <c r="D11" s="10" t="s">
        <v>57</v>
      </c>
      <c r="E11" s="13" t="s">
        <v>109</v>
      </c>
      <c r="F11" s="13" t="s">
        <v>914</v>
      </c>
      <c r="G11" s="13" t="s">
        <v>813</v>
      </c>
      <c r="H11" s="11" t="s">
        <v>65</v>
      </c>
      <c r="I11" s="10" t="s">
        <v>1189</v>
      </c>
      <c r="J11" s="10" t="s">
        <v>864</v>
      </c>
      <c r="L11" s="13" t="s">
        <v>1647</v>
      </c>
      <c r="M11" s="13" t="s">
        <v>1626</v>
      </c>
      <c r="N11" s="13" t="s">
        <v>1627</v>
      </c>
      <c r="O11" s="13" t="s">
        <v>1647</v>
      </c>
      <c r="P11" s="13" t="s">
        <v>1674</v>
      </c>
      <c r="Q11" s="13" t="s">
        <v>1672</v>
      </c>
      <c r="R11" s="13" t="s">
        <v>1653</v>
      </c>
      <c r="S11" s="13" t="s">
        <v>1675</v>
      </c>
      <c r="T11" s="13" t="s">
        <v>1670</v>
      </c>
      <c r="U11" s="13" t="s">
        <v>1647</v>
      </c>
      <c r="V11" s="13" t="s">
        <v>1631</v>
      </c>
      <c r="W11" s="13"/>
    </row>
    <row r="12" spans="1:25" ht="195" hidden="1" x14ac:dyDescent="0.25">
      <c r="A12" s="13" t="s">
        <v>294</v>
      </c>
      <c r="B12" s="13" t="s">
        <v>1195</v>
      </c>
      <c r="C12" s="10" t="s">
        <v>1177</v>
      </c>
      <c r="D12" s="10" t="s">
        <v>57</v>
      </c>
      <c r="E12" s="13" t="s">
        <v>1196</v>
      </c>
      <c r="F12" s="13" t="s">
        <v>915</v>
      </c>
      <c r="G12" s="13" t="s">
        <v>1197</v>
      </c>
      <c r="H12" s="11" t="s">
        <v>65</v>
      </c>
      <c r="I12" s="10" t="s">
        <v>1190</v>
      </c>
      <c r="J12" s="10" t="s">
        <v>814</v>
      </c>
      <c r="L12" s="13" t="s">
        <v>1647</v>
      </c>
      <c r="M12" s="13" t="s">
        <v>1632</v>
      </c>
      <c r="N12" s="13" t="s">
        <v>1636</v>
      </c>
      <c r="O12" s="13" t="s">
        <v>1647</v>
      </c>
      <c r="P12" s="13" t="s">
        <v>1676</v>
      </c>
      <c r="Q12" s="13" t="s">
        <v>1677</v>
      </c>
      <c r="R12" s="13" t="s">
        <v>1653</v>
      </c>
      <c r="S12" s="13" t="s">
        <v>1678</v>
      </c>
      <c r="T12" s="13" t="s">
        <v>1679</v>
      </c>
      <c r="U12" s="13" t="s">
        <v>1647</v>
      </c>
      <c r="V12" s="13" t="s">
        <v>1631</v>
      </c>
      <c r="W12" s="13"/>
    </row>
    <row r="13" spans="1:25" ht="135" hidden="1" x14ac:dyDescent="0.25">
      <c r="A13" s="13" t="s">
        <v>295</v>
      </c>
      <c r="B13" s="10" t="s">
        <v>916</v>
      </c>
      <c r="C13" s="10" t="s">
        <v>1185</v>
      </c>
      <c r="D13" s="10" t="s">
        <v>57</v>
      </c>
      <c r="E13" s="13" t="s">
        <v>815</v>
      </c>
      <c r="F13" s="13" t="s">
        <v>816</v>
      </c>
      <c r="G13" s="13" t="s">
        <v>896</v>
      </c>
      <c r="H13" s="11" t="s">
        <v>65</v>
      </c>
      <c r="I13" s="10" t="s">
        <v>1187</v>
      </c>
      <c r="J13" s="10" t="s">
        <v>56</v>
      </c>
      <c r="L13" s="13" t="s">
        <v>1647</v>
      </c>
      <c r="M13" s="13" t="s">
        <v>1637</v>
      </c>
      <c r="N13" s="13" t="s">
        <v>1638</v>
      </c>
      <c r="O13" s="13" t="s">
        <v>1653</v>
      </c>
      <c r="P13" s="13" t="s">
        <v>1701</v>
      </c>
      <c r="Q13" s="13" t="s">
        <v>1702</v>
      </c>
      <c r="R13" s="13" t="s">
        <v>1680</v>
      </c>
      <c r="U13" s="13" t="s">
        <v>1647</v>
      </c>
      <c r="V13" s="13" t="s">
        <v>1631</v>
      </c>
      <c r="W13" s="13"/>
    </row>
    <row r="14" spans="1:25" ht="120" hidden="1" x14ac:dyDescent="0.25">
      <c r="A14" s="13" t="s">
        <v>296</v>
      </c>
      <c r="B14" s="10" t="s">
        <v>917</v>
      </c>
      <c r="C14" s="10" t="s">
        <v>1185</v>
      </c>
      <c r="D14" s="10" t="s">
        <v>57</v>
      </c>
      <c r="E14" s="13" t="s">
        <v>817</v>
      </c>
      <c r="F14" s="13" t="s">
        <v>818</v>
      </c>
      <c r="G14" s="13" t="s">
        <v>897</v>
      </c>
      <c r="H14" s="11" t="s">
        <v>65</v>
      </c>
      <c r="I14" s="10" t="s">
        <v>1187</v>
      </c>
      <c r="J14" s="10" t="s">
        <v>56</v>
      </c>
      <c r="L14" s="13" t="s">
        <v>1653</v>
      </c>
      <c r="M14" s="13" t="s">
        <v>1625</v>
      </c>
      <c r="O14" s="13" t="s">
        <v>1653</v>
      </c>
      <c r="P14" s="13" t="s">
        <v>1703</v>
      </c>
      <c r="Q14" s="13" t="s">
        <v>1704</v>
      </c>
      <c r="R14" s="13" t="s">
        <v>1653</v>
      </c>
      <c r="U14" s="13" t="s">
        <v>1647</v>
      </c>
      <c r="V14" s="13" t="s">
        <v>1631</v>
      </c>
      <c r="W14" s="13"/>
    </row>
    <row r="15" spans="1:25" ht="105" x14ac:dyDescent="0.25">
      <c r="A15" s="13" t="s">
        <v>297</v>
      </c>
      <c r="B15" s="10" t="s">
        <v>1198</v>
      </c>
      <c r="C15" s="10" t="s">
        <v>1181</v>
      </c>
      <c r="D15" s="10" t="s">
        <v>57</v>
      </c>
      <c r="E15" s="13" t="s">
        <v>819</v>
      </c>
      <c r="F15" s="13" t="s">
        <v>1133</v>
      </c>
      <c r="G15" s="13" t="s">
        <v>1199</v>
      </c>
      <c r="H15" s="11" t="s">
        <v>65</v>
      </c>
      <c r="I15" s="10" t="s">
        <v>1187</v>
      </c>
      <c r="J15" s="10" t="s">
        <v>1618</v>
      </c>
      <c r="L15" s="13" t="s">
        <v>1647</v>
      </c>
      <c r="M15" s="13" t="s">
        <v>1631</v>
      </c>
      <c r="N15" s="13" t="s">
        <v>1640</v>
      </c>
      <c r="O15" s="13" t="s">
        <v>1647</v>
      </c>
      <c r="P15" s="13" t="s">
        <v>1631</v>
      </c>
      <c r="R15" s="13" t="s">
        <v>1647</v>
      </c>
      <c r="S15" s="13" t="s">
        <v>1631</v>
      </c>
      <c r="U15" s="13" t="s">
        <v>1647</v>
      </c>
      <c r="V15" s="13" t="s">
        <v>1631</v>
      </c>
      <c r="W15" s="13" t="s">
        <v>1706</v>
      </c>
    </row>
    <row r="16" spans="1:25" ht="105" x14ac:dyDescent="0.25">
      <c r="A16" s="13" t="s">
        <v>298</v>
      </c>
      <c r="B16" s="10" t="s">
        <v>1200</v>
      </c>
      <c r="C16" s="10" t="s">
        <v>1182</v>
      </c>
      <c r="D16" s="10" t="s">
        <v>57</v>
      </c>
      <c r="E16" s="13" t="s">
        <v>819</v>
      </c>
      <c r="F16" s="13" t="s">
        <v>1134</v>
      </c>
      <c r="G16" s="13" t="s">
        <v>1201</v>
      </c>
      <c r="H16" s="11" t="s">
        <v>65</v>
      </c>
      <c r="I16" s="10" t="s">
        <v>1187</v>
      </c>
      <c r="J16" s="10" t="s">
        <v>1202</v>
      </c>
      <c r="L16" s="13" t="s">
        <v>1647</v>
      </c>
      <c r="M16" s="13" t="s">
        <v>1631</v>
      </c>
      <c r="N16" s="13" t="s">
        <v>1640</v>
      </c>
      <c r="O16" s="13" t="s">
        <v>1647</v>
      </c>
      <c r="P16" s="13" t="s">
        <v>1631</v>
      </c>
      <c r="R16" s="13" t="s">
        <v>1647</v>
      </c>
      <c r="S16" s="13" t="s">
        <v>1631</v>
      </c>
      <c r="U16" s="13" t="s">
        <v>1647</v>
      </c>
      <c r="V16" s="13" t="s">
        <v>1631</v>
      </c>
      <c r="W16" s="13" t="s">
        <v>1706</v>
      </c>
    </row>
    <row r="17" spans="1:23" ht="105" x14ac:dyDescent="0.25">
      <c r="A17" s="13" t="s">
        <v>299</v>
      </c>
      <c r="B17" s="10" t="s">
        <v>1203</v>
      </c>
      <c r="C17" s="10" t="s">
        <v>1182</v>
      </c>
      <c r="D17" s="10" t="s">
        <v>57</v>
      </c>
      <c r="E17" s="13" t="s">
        <v>819</v>
      </c>
      <c r="F17" s="13" t="s">
        <v>1135</v>
      </c>
      <c r="G17" s="13" t="s">
        <v>1204</v>
      </c>
      <c r="H17" s="11" t="s">
        <v>65</v>
      </c>
      <c r="I17" s="10" t="s">
        <v>1187</v>
      </c>
      <c r="J17" s="10" t="s">
        <v>56</v>
      </c>
      <c r="L17" s="13" t="s">
        <v>1647</v>
      </c>
      <c r="M17" s="13" t="s">
        <v>1631</v>
      </c>
      <c r="N17" s="13" t="s">
        <v>1640</v>
      </c>
      <c r="O17" s="13" t="s">
        <v>1647</v>
      </c>
      <c r="P17" s="13" t="s">
        <v>1631</v>
      </c>
      <c r="R17" s="13" t="s">
        <v>1647</v>
      </c>
      <c r="S17" s="13" t="s">
        <v>1631</v>
      </c>
      <c r="U17" s="13" t="s">
        <v>1647</v>
      </c>
      <c r="V17" s="13" t="s">
        <v>1631</v>
      </c>
      <c r="W17" s="13" t="s">
        <v>1707</v>
      </c>
    </row>
    <row r="18" spans="1:23" ht="105" x14ac:dyDescent="0.25">
      <c r="A18" s="13" t="s">
        <v>300</v>
      </c>
      <c r="B18" s="10" t="s">
        <v>1205</v>
      </c>
      <c r="C18" s="10" t="s">
        <v>1182</v>
      </c>
      <c r="D18" s="10" t="s">
        <v>57</v>
      </c>
      <c r="E18" s="13" t="s">
        <v>819</v>
      </c>
      <c r="F18" s="13" t="s">
        <v>1136</v>
      </c>
      <c r="G18" s="13" t="s">
        <v>1206</v>
      </c>
      <c r="H18" s="11" t="s">
        <v>65</v>
      </c>
      <c r="I18" s="10" t="s">
        <v>1187</v>
      </c>
      <c r="J18" s="10" t="s">
        <v>1207</v>
      </c>
      <c r="L18" s="13" t="s">
        <v>1647</v>
      </c>
      <c r="M18" s="13" t="s">
        <v>1631</v>
      </c>
      <c r="N18" s="13" t="s">
        <v>1640</v>
      </c>
      <c r="O18" s="13" t="s">
        <v>1647</v>
      </c>
      <c r="P18" s="13" t="s">
        <v>1631</v>
      </c>
      <c r="R18" s="13" t="s">
        <v>1647</v>
      </c>
      <c r="S18" s="13" t="s">
        <v>1631</v>
      </c>
      <c r="U18" s="13" t="s">
        <v>1647</v>
      </c>
      <c r="V18" s="13" t="s">
        <v>1631</v>
      </c>
      <c r="W18" s="13" t="s">
        <v>1707</v>
      </c>
    </row>
    <row r="19" spans="1:23" ht="105" x14ac:dyDescent="0.25">
      <c r="A19" s="13" t="s">
        <v>301</v>
      </c>
      <c r="B19" s="10" t="s">
        <v>1208</v>
      </c>
      <c r="C19" s="10" t="s">
        <v>1182</v>
      </c>
      <c r="D19" s="10" t="s">
        <v>57</v>
      </c>
      <c r="E19" s="13" t="s">
        <v>819</v>
      </c>
      <c r="F19" s="13" t="s">
        <v>1137</v>
      </c>
      <c r="G19" s="13" t="s">
        <v>1209</v>
      </c>
      <c r="H19" s="11" t="s">
        <v>65</v>
      </c>
      <c r="I19" s="10" t="s">
        <v>1187</v>
      </c>
      <c r="J19" s="10" t="s">
        <v>56</v>
      </c>
      <c r="L19" s="13" t="s">
        <v>1647</v>
      </c>
      <c r="M19" s="13" t="s">
        <v>1631</v>
      </c>
      <c r="N19" s="13" t="s">
        <v>1640</v>
      </c>
      <c r="O19" s="13" t="s">
        <v>1647</v>
      </c>
      <c r="P19" s="13" t="s">
        <v>1631</v>
      </c>
      <c r="R19" s="13" t="s">
        <v>1647</v>
      </c>
      <c r="S19" s="13" t="s">
        <v>1631</v>
      </c>
      <c r="U19" s="13" t="s">
        <v>1647</v>
      </c>
      <c r="V19" s="13" t="s">
        <v>1631</v>
      </c>
      <c r="W19" s="13" t="s">
        <v>1708</v>
      </c>
    </row>
    <row r="20" spans="1:23" ht="105" x14ac:dyDescent="0.25">
      <c r="A20" s="13" t="s">
        <v>302</v>
      </c>
      <c r="B20" s="10" t="s">
        <v>1210</v>
      </c>
      <c r="C20" s="10" t="s">
        <v>1182</v>
      </c>
      <c r="D20" s="10" t="s">
        <v>57</v>
      </c>
      <c r="E20" s="13" t="s">
        <v>819</v>
      </c>
      <c r="F20" s="13" t="s">
        <v>1138</v>
      </c>
      <c r="G20" s="13" t="s">
        <v>1211</v>
      </c>
      <c r="H20" s="11" t="s">
        <v>65</v>
      </c>
      <c r="I20" s="10" t="s">
        <v>1187</v>
      </c>
      <c r="J20" s="10" t="s">
        <v>1212</v>
      </c>
      <c r="L20" s="13" t="s">
        <v>1647</v>
      </c>
      <c r="M20" s="13" t="s">
        <v>1631</v>
      </c>
      <c r="N20" s="13" t="s">
        <v>1640</v>
      </c>
      <c r="O20" s="13" t="s">
        <v>1647</v>
      </c>
      <c r="P20" s="13" t="s">
        <v>1631</v>
      </c>
      <c r="R20" s="13" t="s">
        <v>1647</v>
      </c>
      <c r="S20" s="13" t="s">
        <v>1631</v>
      </c>
      <c r="U20" s="13" t="s">
        <v>1647</v>
      </c>
      <c r="V20" s="13" t="s">
        <v>1631</v>
      </c>
      <c r="W20" s="13" t="s">
        <v>1708</v>
      </c>
    </row>
    <row r="21" spans="1:23" ht="180" x14ac:dyDescent="0.25">
      <c r="A21" s="13" t="s">
        <v>303</v>
      </c>
      <c r="B21" s="10" t="s">
        <v>1213</v>
      </c>
      <c r="C21" s="10" t="s">
        <v>1182</v>
      </c>
      <c r="D21" s="10" t="s">
        <v>57</v>
      </c>
      <c r="E21" s="13" t="s">
        <v>819</v>
      </c>
      <c r="F21" s="13" t="s">
        <v>1214</v>
      </c>
      <c r="G21" s="13" t="s">
        <v>834</v>
      </c>
      <c r="H21" s="11" t="s">
        <v>65</v>
      </c>
      <c r="I21" s="10" t="s">
        <v>1190</v>
      </c>
      <c r="J21" s="10" t="s">
        <v>56</v>
      </c>
      <c r="L21" s="13" t="s">
        <v>1647</v>
      </c>
      <c r="M21" s="13" t="s">
        <v>1631</v>
      </c>
      <c r="N21" s="13" t="s">
        <v>1640</v>
      </c>
      <c r="O21" s="13" t="s">
        <v>1647</v>
      </c>
      <c r="P21" s="13" t="s">
        <v>1631</v>
      </c>
      <c r="R21" s="13" t="s">
        <v>1647</v>
      </c>
      <c r="S21" s="13" t="s">
        <v>1631</v>
      </c>
      <c r="U21" s="13" t="s">
        <v>1653</v>
      </c>
      <c r="V21" s="13" t="s">
        <v>1709</v>
      </c>
      <c r="W21" s="13"/>
    </row>
    <row r="22" spans="1:23" ht="180" x14ac:dyDescent="0.25">
      <c r="A22" s="13" t="s">
        <v>304</v>
      </c>
      <c r="B22" s="10" t="s">
        <v>1215</v>
      </c>
      <c r="C22" s="10" t="s">
        <v>1182</v>
      </c>
      <c r="D22" s="10" t="s">
        <v>57</v>
      </c>
      <c r="E22" s="13" t="s">
        <v>819</v>
      </c>
      <c r="F22" s="13" t="s">
        <v>1216</v>
      </c>
      <c r="G22" s="13" t="s">
        <v>835</v>
      </c>
      <c r="H22" s="11" t="s">
        <v>65</v>
      </c>
      <c r="I22" s="10" t="s">
        <v>56</v>
      </c>
      <c r="J22" s="10" t="s">
        <v>1217</v>
      </c>
      <c r="L22" s="13" t="s">
        <v>1647</v>
      </c>
      <c r="M22" s="13" t="s">
        <v>1631</v>
      </c>
      <c r="N22" s="13" t="s">
        <v>1640</v>
      </c>
      <c r="O22" s="13" t="s">
        <v>1647</v>
      </c>
      <c r="P22" s="13" t="s">
        <v>1631</v>
      </c>
      <c r="R22" s="13" t="s">
        <v>1647</v>
      </c>
      <c r="S22" s="13" t="s">
        <v>1631</v>
      </c>
      <c r="U22" s="13" t="s">
        <v>1653</v>
      </c>
      <c r="V22" s="13" t="s">
        <v>1711</v>
      </c>
      <c r="W22" s="13"/>
    </row>
    <row r="23" spans="1:23" ht="180" x14ac:dyDescent="0.25">
      <c r="A23" s="13" t="s">
        <v>305</v>
      </c>
      <c r="B23" s="10" t="s">
        <v>1218</v>
      </c>
      <c r="C23" s="10" t="s">
        <v>1182</v>
      </c>
      <c r="D23" s="10" t="s">
        <v>57</v>
      </c>
      <c r="E23" s="13" t="s">
        <v>819</v>
      </c>
      <c r="F23" s="13" t="s">
        <v>1219</v>
      </c>
      <c r="G23" s="13" t="s">
        <v>835</v>
      </c>
      <c r="H23" s="11" t="s">
        <v>65</v>
      </c>
      <c r="I23" s="10" t="s">
        <v>56</v>
      </c>
      <c r="J23" s="10" t="s">
        <v>1220</v>
      </c>
      <c r="L23" s="13" t="s">
        <v>1647</v>
      </c>
      <c r="M23" s="13" t="s">
        <v>1631</v>
      </c>
      <c r="N23" s="13" t="s">
        <v>1640</v>
      </c>
      <c r="O23" s="13" t="s">
        <v>1647</v>
      </c>
      <c r="P23" s="13" t="s">
        <v>1631</v>
      </c>
      <c r="R23" s="13" t="s">
        <v>1647</v>
      </c>
      <c r="S23" s="13" t="s">
        <v>1631</v>
      </c>
      <c r="U23" s="13" t="s">
        <v>1653</v>
      </c>
      <c r="V23" s="13" t="s">
        <v>1712</v>
      </c>
      <c r="W23" s="13"/>
    </row>
    <row r="24" spans="1:23" ht="180" x14ac:dyDescent="0.25">
      <c r="A24" s="13" t="s">
        <v>306</v>
      </c>
      <c r="B24" s="10" t="s">
        <v>1221</v>
      </c>
      <c r="C24" s="10" t="s">
        <v>1182</v>
      </c>
      <c r="D24" s="10" t="s">
        <v>57</v>
      </c>
      <c r="E24" s="13" t="s">
        <v>819</v>
      </c>
      <c r="F24" s="13" t="s">
        <v>1222</v>
      </c>
      <c r="G24" s="13" t="s">
        <v>835</v>
      </c>
      <c r="H24" s="11" t="s">
        <v>65</v>
      </c>
      <c r="I24" s="10" t="s">
        <v>56</v>
      </c>
      <c r="J24" s="10" t="s">
        <v>1223</v>
      </c>
      <c r="L24" s="13" t="s">
        <v>1647</v>
      </c>
      <c r="M24" s="13" t="s">
        <v>1631</v>
      </c>
      <c r="N24" s="13" t="s">
        <v>1640</v>
      </c>
      <c r="O24" s="13" t="s">
        <v>1647</v>
      </c>
      <c r="P24" s="13" t="s">
        <v>1631</v>
      </c>
      <c r="R24" s="13" t="s">
        <v>1647</v>
      </c>
      <c r="S24" s="13" t="s">
        <v>1631</v>
      </c>
      <c r="U24" s="13" t="s">
        <v>1653</v>
      </c>
      <c r="V24" s="13" t="s">
        <v>1710</v>
      </c>
      <c r="W24" s="13"/>
    </row>
    <row r="25" spans="1:23" ht="180" x14ac:dyDescent="0.25">
      <c r="A25" s="13" t="s">
        <v>307</v>
      </c>
      <c r="B25" s="10" t="s">
        <v>1224</v>
      </c>
      <c r="C25" s="10" t="s">
        <v>1182</v>
      </c>
      <c r="D25" s="10" t="s">
        <v>57</v>
      </c>
      <c r="E25" s="13" t="s">
        <v>819</v>
      </c>
      <c r="F25" s="13" t="s">
        <v>1225</v>
      </c>
      <c r="G25" s="13" t="s">
        <v>835</v>
      </c>
      <c r="H25" s="11" t="s">
        <v>65</v>
      </c>
      <c r="I25" s="10" t="s">
        <v>56</v>
      </c>
      <c r="J25" s="10" t="s">
        <v>1226</v>
      </c>
      <c r="L25" s="13" t="s">
        <v>1647</v>
      </c>
      <c r="M25" s="13" t="s">
        <v>1631</v>
      </c>
      <c r="N25" s="13" t="s">
        <v>1640</v>
      </c>
      <c r="O25" s="13" t="s">
        <v>1647</v>
      </c>
      <c r="P25" s="13" t="s">
        <v>1631</v>
      </c>
      <c r="R25" s="13" t="s">
        <v>1647</v>
      </c>
      <c r="S25" s="13" t="s">
        <v>1631</v>
      </c>
      <c r="U25" s="13" t="s">
        <v>1653</v>
      </c>
      <c r="V25" s="13" t="s">
        <v>1713</v>
      </c>
      <c r="W25" s="13"/>
    </row>
    <row r="26" spans="1:23" ht="180" x14ac:dyDescent="0.25">
      <c r="A26" s="13" t="s">
        <v>308</v>
      </c>
      <c r="B26" s="10" t="s">
        <v>1227</v>
      </c>
      <c r="C26" s="10" t="s">
        <v>1182</v>
      </c>
      <c r="D26" s="10" t="s">
        <v>57</v>
      </c>
      <c r="E26" s="13" t="s">
        <v>819</v>
      </c>
      <c r="F26" s="13" t="s">
        <v>1228</v>
      </c>
      <c r="G26" s="13" t="s">
        <v>835</v>
      </c>
      <c r="H26" s="11" t="s">
        <v>65</v>
      </c>
      <c r="I26" s="10" t="s">
        <v>56</v>
      </c>
      <c r="J26" s="10" t="s">
        <v>1229</v>
      </c>
      <c r="L26" s="13" t="s">
        <v>1647</v>
      </c>
      <c r="M26" s="13" t="s">
        <v>1631</v>
      </c>
      <c r="N26" s="13" t="s">
        <v>1640</v>
      </c>
      <c r="O26" s="13" t="s">
        <v>1647</v>
      </c>
      <c r="P26" s="13" t="s">
        <v>1631</v>
      </c>
      <c r="R26" s="13" t="s">
        <v>1647</v>
      </c>
      <c r="S26" s="13" t="s">
        <v>1631</v>
      </c>
      <c r="U26" s="13" t="s">
        <v>1653</v>
      </c>
      <c r="V26" s="20" t="s">
        <v>1714</v>
      </c>
      <c r="W26" s="13"/>
    </row>
    <row r="27" spans="1:23" ht="180" x14ac:dyDescent="0.25">
      <c r="A27" s="13" t="s">
        <v>309</v>
      </c>
      <c r="B27" s="10" t="s">
        <v>1230</v>
      </c>
      <c r="C27" s="10" t="s">
        <v>1182</v>
      </c>
      <c r="D27" s="10" t="s">
        <v>57</v>
      </c>
      <c r="E27" s="13" t="s">
        <v>819</v>
      </c>
      <c r="F27" s="13" t="s">
        <v>1231</v>
      </c>
      <c r="G27" s="13" t="s">
        <v>835</v>
      </c>
      <c r="H27" s="11" t="s">
        <v>65</v>
      </c>
      <c r="I27" s="10" t="s">
        <v>56</v>
      </c>
      <c r="J27" s="10" t="s">
        <v>1232</v>
      </c>
      <c r="L27" s="13" t="s">
        <v>1647</v>
      </c>
      <c r="M27" s="13" t="s">
        <v>1631</v>
      </c>
      <c r="N27" s="13" t="s">
        <v>1640</v>
      </c>
      <c r="O27" s="13" t="s">
        <v>1647</v>
      </c>
      <c r="P27" s="13" t="s">
        <v>1631</v>
      </c>
      <c r="R27" s="13" t="s">
        <v>1647</v>
      </c>
      <c r="S27" s="13" t="s">
        <v>1631</v>
      </c>
      <c r="U27" s="13" t="s">
        <v>1653</v>
      </c>
      <c r="V27" s="20" t="s">
        <v>1715</v>
      </c>
      <c r="W27" s="13"/>
    </row>
    <row r="28" spans="1:23" ht="150" x14ac:dyDescent="0.25">
      <c r="A28" s="13" t="s">
        <v>310</v>
      </c>
      <c r="B28" s="10" t="s">
        <v>1233</v>
      </c>
      <c r="C28" s="10" t="s">
        <v>1182</v>
      </c>
      <c r="D28" s="10" t="s">
        <v>57</v>
      </c>
      <c r="E28" s="13" t="s">
        <v>819</v>
      </c>
      <c r="F28" s="13" t="s">
        <v>1234</v>
      </c>
      <c r="G28" s="13" t="s">
        <v>835</v>
      </c>
      <c r="H28" s="11" t="s">
        <v>65</v>
      </c>
      <c r="I28" s="10" t="s">
        <v>1190</v>
      </c>
      <c r="J28" s="10" t="s">
        <v>56</v>
      </c>
      <c r="L28" s="13" t="s">
        <v>1647</v>
      </c>
      <c r="M28" s="13" t="s">
        <v>1631</v>
      </c>
      <c r="N28" s="13" t="s">
        <v>1640</v>
      </c>
      <c r="O28" s="13" t="s">
        <v>1647</v>
      </c>
      <c r="P28" s="13" t="s">
        <v>1631</v>
      </c>
      <c r="R28" s="13" t="s">
        <v>1647</v>
      </c>
      <c r="S28" s="13" t="s">
        <v>1631</v>
      </c>
      <c r="U28" s="13" t="s">
        <v>1647</v>
      </c>
      <c r="V28" s="13" t="s">
        <v>1631</v>
      </c>
      <c r="W28" s="13"/>
    </row>
    <row r="29" spans="1:23" ht="150" x14ac:dyDescent="0.25">
      <c r="A29" s="13" t="s">
        <v>311</v>
      </c>
      <c r="B29" s="10" t="s">
        <v>1235</v>
      </c>
      <c r="C29" s="10" t="s">
        <v>1182</v>
      </c>
      <c r="D29" s="10" t="s">
        <v>57</v>
      </c>
      <c r="E29" s="13" t="s">
        <v>819</v>
      </c>
      <c r="F29" s="13" t="s">
        <v>1236</v>
      </c>
      <c r="G29" s="13" t="s">
        <v>835</v>
      </c>
      <c r="H29" s="11" t="s">
        <v>65</v>
      </c>
      <c r="I29" s="10" t="s">
        <v>1190</v>
      </c>
      <c r="J29" s="10" t="s">
        <v>56</v>
      </c>
      <c r="L29" s="13" t="s">
        <v>1647</v>
      </c>
      <c r="M29" s="13" t="s">
        <v>1631</v>
      </c>
      <c r="N29" s="13" t="s">
        <v>1640</v>
      </c>
      <c r="O29" s="13" t="s">
        <v>1647</v>
      </c>
      <c r="P29" s="13" t="s">
        <v>1631</v>
      </c>
      <c r="R29" s="13" t="s">
        <v>1647</v>
      </c>
      <c r="S29" s="13" t="s">
        <v>1631</v>
      </c>
      <c r="U29" s="13" t="s">
        <v>1647</v>
      </c>
      <c r="V29" s="13" t="s">
        <v>1631</v>
      </c>
      <c r="W29" s="13"/>
    </row>
    <row r="30" spans="1:23" ht="150" x14ac:dyDescent="0.25">
      <c r="A30" s="13" t="s">
        <v>312</v>
      </c>
      <c r="B30" s="10" t="s">
        <v>1237</v>
      </c>
      <c r="C30" s="10" t="s">
        <v>1182</v>
      </c>
      <c r="D30" s="10" t="s">
        <v>57</v>
      </c>
      <c r="E30" s="13" t="s">
        <v>819</v>
      </c>
      <c r="F30" s="13" t="s">
        <v>1238</v>
      </c>
      <c r="G30" s="13" t="s">
        <v>835</v>
      </c>
      <c r="H30" s="11" t="s">
        <v>65</v>
      </c>
      <c r="I30" s="10" t="s">
        <v>1190</v>
      </c>
      <c r="J30" s="10" t="s">
        <v>56</v>
      </c>
      <c r="L30" s="13" t="s">
        <v>1647</v>
      </c>
      <c r="M30" s="13" t="s">
        <v>1631</v>
      </c>
      <c r="N30" s="13" t="s">
        <v>1640</v>
      </c>
      <c r="O30" s="13" t="s">
        <v>1647</v>
      </c>
      <c r="P30" s="13" t="s">
        <v>1631</v>
      </c>
      <c r="R30" s="13" t="s">
        <v>1647</v>
      </c>
      <c r="S30" s="13" t="s">
        <v>1631</v>
      </c>
      <c r="U30" s="13" t="s">
        <v>1647</v>
      </c>
      <c r="V30" s="13" t="s">
        <v>1631</v>
      </c>
      <c r="W30" s="13"/>
    </row>
    <row r="31" spans="1:23" ht="120" x14ac:dyDescent="0.25">
      <c r="A31" s="13" t="s">
        <v>313</v>
      </c>
      <c r="B31" s="10" t="s">
        <v>1239</v>
      </c>
      <c r="C31" s="10" t="s">
        <v>1182</v>
      </c>
      <c r="D31" s="10" t="s">
        <v>57</v>
      </c>
      <c r="E31" s="13" t="s">
        <v>819</v>
      </c>
      <c r="F31" s="13" t="s">
        <v>1240</v>
      </c>
      <c r="G31" s="13" t="s">
        <v>836</v>
      </c>
      <c r="H31" s="11" t="s">
        <v>65</v>
      </c>
      <c r="I31" s="10" t="s">
        <v>1190</v>
      </c>
      <c r="J31" s="10" t="s">
        <v>56</v>
      </c>
      <c r="L31" s="13" t="s">
        <v>1647</v>
      </c>
      <c r="M31" s="13" t="s">
        <v>1631</v>
      </c>
      <c r="N31" s="13" t="s">
        <v>1640</v>
      </c>
      <c r="O31" s="13" t="s">
        <v>1647</v>
      </c>
      <c r="P31" s="13" t="s">
        <v>1631</v>
      </c>
      <c r="R31" s="13" t="s">
        <v>1647</v>
      </c>
      <c r="S31" s="13" t="s">
        <v>1631</v>
      </c>
      <c r="U31" s="13" t="s">
        <v>1647</v>
      </c>
      <c r="V31" s="13" t="s">
        <v>1631</v>
      </c>
      <c r="W31" s="13" t="s">
        <v>1716</v>
      </c>
    </row>
    <row r="32" spans="1:23" ht="90" x14ac:dyDescent="0.25">
      <c r="A32" s="13" t="s">
        <v>314</v>
      </c>
      <c r="B32" s="10" t="s">
        <v>918</v>
      </c>
      <c r="C32" s="10" t="s">
        <v>1182</v>
      </c>
      <c r="D32" s="10" t="s">
        <v>57</v>
      </c>
      <c r="E32" s="13" t="s">
        <v>819</v>
      </c>
      <c r="F32" s="13" t="s">
        <v>847</v>
      </c>
      <c r="G32" s="13" t="s">
        <v>898</v>
      </c>
      <c r="H32" s="11" t="s">
        <v>65</v>
      </c>
      <c r="I32" s="10" t="s">
        <v>1187</v>
      </c>
      <c r="J32" s="10" t="s">
        <v>1619</v>
      </c>
      <c r="L32" s="13" t="s">
        <v>1647</v>
      </c>
      <c r="M32" s="13" t="s">
        <v>1631</v>
      </c>
      <c r="N32" s="13" t="s">
        <v>1640</v>
      </c>
      <c r="O32" s="13" t="s">
        <v>1647</v>
      </c>
      <c r="P32" s="13" t="s">
        <v>1631</v>
      </c>
      <c r="R32" s="13" t="s">
        <v>1647</v>
      </c>
      <c r="S32" s="13" t="s">
        <v>1631</v>
      </c>
      <c r="U32" s="13" t="s">
        <v>1647</v>
      </c>
      <c r="V32" s="13" t="s">
        <v>1631</v>
      </c>
      <c r="W32" s="13" t="s">
        <v>1717</v>
      </c>
    </row>
    <row r="33" spans="1:23" ht="195" x14ac:dyDescent="0.25">
      <c r="A33" s="13" t="s">
        <v>315</v>
      </c>
      <c r="B33" s="10" t="s">
        <v>919</v>
      </c>
      <c r="C33" s="10" t="s">
        <v>1182</v>
      </c>
      <c r="D33" s="10" t="s">
        <v>57</v>
      </c>
      <c r="E33" s="13" t="s">
        <v>819</v>
      </c>
      <c r="F33" s="13" t="s">
        <v>848</v>
      </c>
      <c r="G33" s="13" t="s">
        <v>899</v>
      </c>
      <c r="H33" s="11" t="s">
        <v>65</v>
      </c>
      <c r="I33" s="10" t="s">
        <v>1190</v>
      </c>
      <c r="J33" s="10" t="s">
        <v>1620</v>
      </c>
      <c r="L33" s="13" t="s">
        <v>1647</v>
      </c>
      <c r="M33" s="13" t="s">
        <v>1631</v>
      </c>
      <c r="N33" s="13" t="s">
        <v>1640</v>
      </c>
      <c r="O33" s="13" t="s">
        <v>1647</v>
      </c>
      <c r="P33" s="13" t="s">
        <v>1631</v>
      </c>
      <c r="R33" s="13" t="s">
        <v>1647</v>
      </c>
      <c r="S33" s="13" t="s">
        <v>1631</v>
      </c>
      <c r="U33" s="13" t="s">
        <v>1647</v>
      </c>
      <c r="V33" s="13" t="s">
        <v>1631</v>
      </c>
      <c r="W33" s="13" t="s">
        <v>1717</v>
      </c>
    </row>
    <row r="34" spans="1:23" ht="75" x14ac:dyDescent="0.25">
      <c r="A34" s="13" t="s">
        <v>316</v>
      </c>
      <c r="B34" s="10" t="s">
        <v>865</v>
      </c>
      <c r="C34" s="10" t="s">
        <v>1182</v>
      </c>
      <c r="D34" s="10" t="s">
        <v>57</v>
      </c>
      <c r="E34" s="13" t="s">
        <v>819</v>
      </c>
      <c r="F34" s="13" t="s">
        <v>847</v>
      </c>
      <c r="G34" s="13" t="s">
        <v>866</v>
      </c>
      <c r="H34" s="11" t="s">
        <v>65</v>
      </c>
      <c r="I34" s="10" t="s">
        <v>1190</v>
      </c>
      <c r="J34" s="10" t="s">
        <v>56</v>
      </c>
      <c r="L34" s="13" t="s">
        <v>1647</v>
      </c>
      <c r="M34" s="13" t="s">
        <v>1631</v>
      </c>
      <c r="N34" s="13" t="s">
        <v>1640</v>
      </c>
      <c r="O34" s="13" t="s">
        <v>1647</v>
      </c>
      <c r="P34" s="13" t="s">
        <v>1631</v>
      </c>
      <c r="R34" s="13" t="s">
        <v>1647</v>
      </c>
      <c r="S34" s="13" t="s">
        <v>1631</v>
      </c>
      <c r="U34" s="13" t="s">
        <v>1653</v>
      </c>
      <c r="V34" s="13" t="s">
        <v>1718</v>
      </c>
      <c r="W34" s="13" t="s">
        <v>1720</v>
      </c>
    </row>
    <row r="35" spans="1:23" ht="105" x14ac:dyDescent="0.25">
      <c r="A35" s="13" t="s">
        <v>317</v>
      </c>
      <c r="B35" s="10" t="s">
        <v>867</v>
      </c>
      <c r="C35" s="10" t="s">
        <v>1182</v>
      </c>
      <c r="D35" s="10" t="s">
        <v>57</v>
      </c>
      <c r="E35" s="13" t="s">
        <v>819</v>
      </c>
      <c r="F35" s="13" t="s">
        <v>848</v>
      </c>
      <c r="G35" s="13" t="s">
        <v>868</v>
      </c>
      <c r="H35" s="11" t="s">
        <v>65</v>
      </c>
      <c r="I35" s="10" t="s">
        <v>1190</v>
      </c>
      <c r="J35" s="10" t="s">
        <v>869</v>
      </c>
      <c r="L35" s="13" t="s">
        <v>1647</v>
      </c>
      <c r="M35" s="13" t="s">
        <v>1631</v>
      </c>
      <c r="N35" s="13" t="s">
        <v>1640</v>
      </c>
      <c r="O35" s="13" t="s">
        <v>1647</v>
      </c>
      <c r="P35" s="13" t="s">
        <v>1631</v>
      </c>
      <c r="R35" s="13" t="s">
        <v>1647</v>
      </c>
      <c r="S35" s="13" t="s">
        <v>1631</v>
      </c>
      <c r="U35" s="13" t="s">
        <v>1653</v>
      </c>
      <c r="V35" s="13" t="s">
        <v>1719</v>
      </c>
      <c r="W35" s="13" t="s">
        <v>1720</v>
      </c>
    </row>
    <row r="36" spans="1:23" ht="409.5" x14ac:dyDescent="0.25">
      <c r="A36" s="13" t="s">
        <v>318</v>
      </c>
      <c r="B36" s="10" t="s">
        <v>920</v>
      </c>
      <c r="C36" s="10" t="s">
        <v>1182</v>
      </c>
      <c r="D36" s="10" t="s">
        <v>57</v>
      </c>
      <c r="E36" s="13" t="s">
        <v>856</v>
      </c>
      <c r="F36" s="13" t="s">
        <v>870</v>
      </c>
      <c r="G36" s="13" t="s">
        <v>900</v>
      </c>
      <c r="H36" s="11" t="s">
        <v>65</v>
      </c>
      <c r="I36" s="10" t="s">
        <v>1188</v>
      </c>
      <c r="J36" s="10" t="s">
        <v>871</v>
      </c>
      <c r="L36" s="13" t="s">
        <v>1647</v>
      </c>
      <c r="M36" s="13" t="s">
        <v>1631</v>
      </c>
      <c r="N36" s="13" t="s">
        <v>1640</v>
      </c>
      <c r="O36" s="13" t="s">
        <v>1647</v>
      </c>
      <c r="P36" s="13" t="s">
        <v>1631</v>
      </c>
      <c r="R36" s="13" t="s">
        <v>1647</v>
      </c>
      <c r="S36" s="13" t="s">
        <v>1631</v>
      </c>
      <c r="U36" s="13" t="s">
        <v>1653</v>
      </c>
      <c r="V36" s="20" t="s">
        <v>1721</v>
      </c>
      <c r="W36" s="13"/>
    </row>
    <row r="37" spans="1:23" ht="210" x14ac:dyDescent="0.25">
      <c r="A37" s="13" t="s">
        <v>319</v>
      </c>
      <c r="B37" s="10" t="s">
        <v>921</v>
      </c>
      <c r="C37" s="10" t="s">
        <v>1182</v>
      </c>
      <c r="D37" s="10" t="s">
        <v>57</v>
      </c>
      <c r="E37" s="13" t="s">
        <v>819</v>
      </c>
      <c r="F37" s="13" t="s">
        <v>872</v>
      </c>
      <c r="G37" s="13" t="s">
        <v>922</v>
      </c>
      <c r="H37" s="11" t="s">
        <v>65</v>
      </c>
      <c r="I37" s="10" t="s">
        <v>56</v>
      </c>
      <c r="J37" s="10" t="s">
        <v>1183</v>
      </c>
      <c r="L37" s="13" t="s">
        <v>1647</v>
      </c>
      <c r="M37" s="13" t="s">
        <v>1631</v>
      </c>
      <c r="N37" s="13" t="s">
        <v>1640</v>
      </c>
      <c r="O37" s="13" t="s">
        <v>1647</v>
      </c>
      <c r="P37" s="13" t="s">
        <v>1631</v>
      </c>
      <c r="R37" s="13" t="s">
        <v>1647</v>
      </c>
      <c r="S37" s="13" t="s">
        <v>1631</v>
      </c>
      <c r="U37" s="13" t="s">
        <v>1647</v>
      </c>
      <c r="V37" s="13" t="s">
        <v>1631</v>
      </c>
      <c r="W37" s="13" t="s">
        <v>1722</v>
      </c>
    </row>
    <row r="38" spans="1:23" ht="180" x14ac:dyDescent="0.25">
      <c r="A38" s="13" t="s">
        <v>320</v>
      </c>
      <c r="B38" s="10" t="s">
        <v>923</v>
      </c>
      <c r="C38" s="10" t="s">
        <v>1182</v>
      </c>
      <c r="D38" s="10" t="s">
        <v>57</v>
      </c>
      <c r="E38" s="13" t="s">
        <v>819</v>
      </c>
      <c r="F38" s="13" t="s">
        <v>870</v>
      </c>
      <c r="G38" s="13" t="s">
        <v>922</v>
      </c>
      <c r="H38" s="11" t="s">
        <v>65</v>
      </c>
      <c r="I38" s="10" t="s">
        <v>56</v>
      </c>
      <c r="J38" s="10" t="s">
        <v>1184</v>
      </c>
      <c r="L38" s="13" t="s">
        <v>1647</v>
      </c>
      <c r="M38" s="13" t="s">
        <v>1631</v>
      </c>
      <c r="N38" s="13" t="s">
        <v>1640</v>
      </c>
      <c r="O38" s="13" t="s">
        <v>1647</v>
      </c>
      <c r="P38" s="13" t="s">
        <v>1631</v>
      </c>
      <c r="R38" s="13" t="s">
        <v>1647</v>
      </c>
      <c r="S38" s="13" t="s">
        <v>1631</v>
      </c>
      <c r="U38" s="13" t="s">
        <v>1647</v>
      </c>
      <c r="V38" s="13" t="s">
        <v>1631</v>
      </c>
      <c r="W38" s="13"/>
    </row>
    <row r="39" spans="1:23" ht="165" x14ac:dyDescent="0.25">
      <c r="A39" s="13" t="s">
        <v>321</v>
      </c>
      <c r="B39" s="10" t="s">
        <v>924</v>
      </c>
      <c r="C39" s="10" t="s">
        <v>1182</v>
      </c>
      <c r="D39" s="10" t="s">
        <v>57</v>
      </c>
      <c r="E39" s="13" t="s">
        <v>819</v>
      </c>
      <c r="F39" s="13" t="s">
        <v>873</v>
      </c>
      <c r="G39" s="13" t="s">
        <v>922</v>
      </c>
      <c r="H39" s="11" t="s">
        <v>65</v>
      </c>
      <c r="I39" s="10" t="s">
        <v>1187</v>
      </c>
      <c r="J39" s="10" t="s">
        <v>56</v>
      </c>
      <c r="L39" s="13" t="s">
        <v>1647</v>
      </c>
      <c r="M39" s="13" t="s">
        <v>1631</v>
      </c>
      <c r="N39" s="13" t="s">
        <v>1640</v>
      </c>
      <c r="O39" s="13" t="s">
        <v>1647</v>
      </c>
      <c r="P39" s="13" t="s">
        <v>1631</v>
      </c>
      <c r="R39" s="13" t="s">
        <v>1647</v>
      </c>
      <c r="S39" s="13" t="s">
        <v>1631</v>
      </c>
      <c r="U39" s="13" t="s">
        <v>1647</v>
      </c>
      <c r="V39" s="13" t="s">
        <v>1631</v>
      </c>
      <c r="W39" s="13"/>
    </row>
    <row r="40" spans="1:23" ht="165" x14ac:dyDescent="0.25">
      <c r="A40" s="13" t="s">
        <v>322</v>
      </c>
      <c r="B40" s="10" t="s">
        <v>925</v>
      </c>
      <c r="C40" s="10" t="s">
        <v>1182</v>
      </c>
      <c r="D40" s="10" t="s">
        <v>57</v>
      </c>
      <c r="E40" s="13" t="s">
        <v>819</v>
      </c>
      <c r="F40" s="13" t="s">
        <v>874</v>
      </c>
      <c r="G40" s="13" t="s">
        <v>922</v>
      </c>
      <c r="H40" s="11" t="s">
        <v>65</v>
      </c>
      <c r="I40" s="10" t="s">
        <v>1187</v>
      </c>
      <c r="J40" s="10" t="s">
        <v>56</v>
      </c>
      <c r="L40" s="13" t="s">
        <v>1647</v>
      </c>
      <c r="M40" s="13" t="s">
        <v>1631</v>
      </c>
      <c r="N40" s="13" t="s">
        <v>1640</v>
      </c>
      <c r="O40" s="13" t="s">
        <v>1647</v>
      </c>
      <c r="P40" s="13" t="s">
        <v>1631</v>
      </c>
      <c r="R40" s="13" t="s">
        <v>1647</v>
      </c>
      <c r="S40" s="13" t="s">
        <v>1631</v>
      </c>
      <c r="U40" s="13" t="s">
        <v>1647</v>
      </c>
      <c r="V40" s="13" t="s">
        <v>1631</v>
      </c>
      <c r="W40" s="13"/>
    </row>
    <row r="41" spans="1:23" ht="135" x14ac:dyDescent="0.25">
      <c r="A41" s="13" t="s">
        <v>323</v>
      </c>
      <c r="B41" s="10" t="s">
        <v>926</v>
      </c>
      <c r="C41" s="10" t="s">
        <v>1182</v>
      </c>
      <c r="D41" s="10" t="s">
        <v>57</v>
      </c>
      <c r="E41" s="13" t="s">
        <v>819</v>
      </c>
      <c r="F41" s="13" t="s">
        <v>875</v>
      </c>
      <c r="G41" s="13" t="s">
        <v>922</v>
      </c>
      <c r="H41" s="11" t="s">
        <v>65</v>
      </c>
      <c r="I41" s="10" t="s">
        <v>1187</v>
      </c>
      <c r="J41" s="10" t="s">
        <v>56</v>
      </c>
      <c r="L41" s="13" t="s">
        <v>1647</v>
      </c>
      <c r="M41" s="13" t="s">
        <v>1631</v>
      </c>
      <c r="N41" s="13" t="s">
        <v>1640</v>
      </c>
      <c r="O41" s="13" t="s">
        <v>1647</v>
      </c>
      <c r="P41" s="13" t="s">
        <v>1631</v>
      </c>
      <c r="R41" s="13" t="s">
        <v>1647</v>
      </c>
      <c r="S41" s="13" t="s">
        <v>1631</v>
      </c>
      <c r="U41" s="13" t="s">
        <v>1647</v>
      </c>
      <c r="V41" s="13" t="s">
        <v>1631</v>
      </c>
      <c r="W41" s="13"/>
    </row>
    <row r="42" spans="1:23" ht="135" x14ac:dyDescent="0.25">
      <c r="A42" s="13" t="s">
        <v>324</v>
      </c>
      <c r="B42" s="10" t="s">
        <v>927</v>
      </c>
      <c r="C42" s="10" t="s">
        <v>1182</v>
      </c>
      <c r="D42" s="10" t="s">
        <v>57</v>
      </c>
      <c r="E42" s="13" t="s">
        <v>819</v>
      </c>
      <c r="F42" s="13" t="s">
        <v>876</v>
      </c>
      <c r="G42" s="13" t="s">
        <v>922</v>
      </c>
      <c r="H42" s="11" t="s">
        <v>65</v>
      </c>
      <c r="I42" s="10" t="s">
        <v>1187</v>
      </c>
      <c r="J42" s="10" t="s">
        <v>56</v>
      </c>
      <c r="L42" s="13" t="s">
        <v>1647</v>
      </c>
      <c r="M42" s="13" t="s">
        <v>1631</v>
      </c>
      <c r="N42" s="13" t="s">
        <v>1640</v>
      </c>
      <c r="O42" s="13" t="s">
        <v>1647</v>
      </c>
      <c r="P42" s="13" t="s">
        <v>1631</v>
      </c>
      <c r="R42" s="13" t="s">
        <v>1647</v>
      </c>
      <c r="S42" s="13" t="s">
        <v>1631</v>
      </c>
      <c r="U42" s="13" t="s">
        <v>1647</v>
      </c>
      <c r="V42" s="13" t="s">
        <v>1631</v>
      </c>
      <c r="W42" s="13"/>
    </row>
    <row r="43" spans="1:23" ht="210" hidden="1" x14ac:dyDescent="0.25">
      <c r="A43" s="13" t="s">
        <v>325</v>
      </c>
      <c r="B43" s="13" t="s">
        <v>1241</v>
      </c>
      <c r="C43" s="10" t="s">
        <v>1177</v>
      </c>
      <c r="D43" s="10" t="s">
        <v>57</v>
      </c>
      <c r="E43" s="13" t="s">
        <v>1242</v>
      </c>
      <c r="F43" s="13" t="s">
        <v>915</v>
      </c>
      <c r="G43" s="13" t="s">
        <v>1197</v>
      </c>
      <c r="H43" s="11" t="s">
        <v>65</v>
      </c>
      <c r="I43" s="10" t="s">
        <v>1190</v>
      </c>
      <c r="J43" s="10" t="s">
        <v>814</v>
      </c>
      <c r="L43" s="13" t="s">
        <v>1647</v>
      </c>
      <c r="M43" s="13" t="s">
        <v>1632</v>
      </c>
      <c r="N43" s="13" t="s">
        <v>1636</v>
      </c>
      <c r="O43" s="13" t="s">
        <v>1647</v>
      </c>
      <c r="P43" s="13" t="s">
        <v>1631</v>
      </c>
      <c r="Q43" s="13" t="s">
        <v>1681</v>
      </c>
      <c r="R43" s="13" t="s">
        <v>1680</v>
      </c>
      <c r="T43" s="13" t="s">
        <v>1682</v>
      </c>
      <c r="U43" s="13" t="s">
        <v>1647</v>
      </c>
      <c r="V43" s="13" t="s">
        <v>1631</v>
      </c>
      <c r="W43" s="13"/>
    </row>
    <row r="44" spans="1:23" ht="135" hidden="1" x14ac:dyDescent="0.25">
      <c r="A44" s="13" t="s">
        <v>326</v>
      </c>
      <c r="B44" s="10" t="s">
        <v>928</v>
      </c>
      <c r="C44" s="10" t="s">
        <v>1185</v>
      </c>
      <c r="D44" s="10" t="s">
        <v>57</v>
      </c>
      <c r="E44" s="13" t="s">
        <v>837</v>
      </c>
      <c r="F44" s="13" t="s">
        <v>816</v>
      </c>
      <c r="G44" s="13" t="s">
        <v>896</v>
      </c>
      <c r="H44" s="11" t="s">
        <v>65</v>
      </c>
      <c r="I44" s="10" t="s">
        <v>1187</v>
      </c>
      <c r="J44" s="10" t="s">
        <v>56</v>
      </c>
      <c r="L44" s="13" t="s">
        <v>1647</v>
      </c>
      <c r="M44" s="13" t="s">
        <v>1637</v>
      </c>
      <c r="N44" s="13" t="s">
        <v>1638</v>
      </c>
      <c r="O44" s="13" t="s">
        <v>1647</v>
      </c>
      <c r="P44" s="13" t="s">
        <v>1631</v>
      </c>
      <c r="U44" s="13" t="s">
        <v>1647</v>
      </c>
      <c r="V44" s="13" t="s">
        <v>1631</v>
      </c>
      <c r="W44" s="13"/>
    </row>
    <row r="45" spans="1:23" ht="120" hidden="1" x14ac:dyDescent="0.25">
      <c r="A45" s="13" t="s">
        <v>327</v>
      </c>
      <c r="B45" s="10" t="s">
        <v>929</v>
      </c>
      <c r="C45" s="10" t="s">
        <v>1185</v>
      </c>
      <c r="D45" s="10" t="s">
        <v>57</v>
      </c>
      <c r="E45" s="13" t="s">
        <v>838</v>
      </c>
      <c r="F45" s="13" t="s">
        <v>820</v>
      </c>
      <c r="G45" s="13" t="s">
        <v>897</v>
      </c>
      <c r="H45" s="11" t="s">
        <v>65</v>
      </c>
      <c r="I45" s="10" t="s">
        <v>1187</v>
      </c>
      <c r="J45" s="10" t="s">
        <v>56</v>
      </c>
      <c r="L45" s="13" t="s">
        <v>1653</v>
      </c>
      <c r="M45" s="13" t="s">
        <v>1625</v>
      </c>
      <c r="O45" s="13" t="s">
        <v>1647</v>
      </c>
      <c r="P45" s="13" t="s">
        <v>1631</v>
      </c>
      <c r="U45" s="13" t="s">
        <v>1647</v>
      </c>
      <c r="V45" s="13" t="s">
        <v>1631</v>
      </c>
      <c r="W45" s="13"/>
    </row>
    <row r="46" spans="1:23" ht="105" x14ac:dyDescent="0.25">
      <c r="A46" s="13" t="s">
        <v>328</v>
      </c>
      <c r="B46" s="10" t="s">
        <v>1243</v>
      </c>
      <c r="C46" s="10" t="s">
        <v>1182</v>
      </c>
      <c r="D46" s="10" t="s">
        <v>57</v>
      </c>
      <c r="E46" s="13" t="s">
        <v>821</v>
      </c>
      <c r="F46" s="13" t="s">
        <v>1133</v>
      </c>
      <c r="G46" s="13" t="s">
        <v>1199</v>
      </c>
      <c r="H46" s="11" t="s">
        <v>65</v>
      </c>
      <c r="I46" s="10" t="s">
        <v>1187</v>
      </c>
      <c r="J46" s="10" t="s">
        <v>56</v>
      </c>
      <c r="L46" s="13" t="s">
        <v>1647</v>
      </c>
      <c r="M46" s="13" t="s">
        <v>1631</v>
      </c>
      <c r="N46" s="13" t="s">
        <v>1640</v>
      </c>
      <c r="O46" s="13" t="s">
        <v>1647</v>
      </c>
      <c r="P46" s="13" t="s">
        <v>1631</v>
      </c>
      <c r="R46" s="13" t="s">
        <v>1647</v>
      </c>
      <c r="S46" s="13" t="s">
        <v>1631</v>
      </c>
      <c r="U46" s="13" t="s">
        <v>1647</v>
      </c>
      <c r="V46" s="13" t="s">
        <v>1631</v>
      </c>
      <c r="W46" s="13" t="s">
        <v>1706</v>
      </c>
    </row>
    <row r="47" spans="1:23" ht="105" x14ac:dyDescent="0.25">
      <c r="A47" s="13" t="s">
        <v>329</v>
      </c>
      <c r="B47" s="10" t="s">
        <v>1244</v>
      </c>
      <c r="C47" s="10" t="s">
        <v>1182</v>
      </c>
      <c r="D47" s="10" t="s">
        <v>57</v>
      </c>
      <c r="E47" s="13" t="s">
        <v>821</v>
      </c>
      <c r="F47" s="13" t="s">
        <v>1134</v>
      </c>
      <c r="G47" s="13" t="s">
        <v>1201</v>
      </c>
      <c r="H47" s="11" t="s">
        <v>65</v>
      </c>
      <c r="I47" s="10" t="s">
        <v>1187</v>
      </c>
      <c r="J47" s="10" t="s">
        <v>1202</v>
      </c>
      <c r="L47" s="13" t="s">
        <v>1647</v>
      </c>
      <c r="M47" s="13" t="s">
        <v>1631</v>
      </c>
      <c r="N47" s="13" t="s">
        <v>1640</v>
      </c>
      <c r="O47" s="13" t="s">
        <v>1647</v>
      </c>
      <c r="P47" s="13" t="s">
        <v>1631</v>
      </c>
      <c r="R47" s="13" t="s">
        <v>1647</v>
      </c>
      <c r="S47" s="13" t="s">
        <v>1631</v>
      </c>
      <c r="U47" s="13" t="s">
        <v>1647</v>
      </c>
      <c r="V47" s="13" t="s">
        <v>1631</v>
      </c>
      <c r="W47" s="13" t="s">
        <v>1706</v>
      </c>
    </row>
    <row r="48" spans="1:23" ht="105" x14ac:dyDescent="0.25">
      <c r="A48" s="13" t="s">
        <v>330</v>
      </c>
      <c r="B48" s="10" t="s">
        <v>1245</v>
      </c>
      <c r="C48" s="10" t="s">
        <v>1182</v>
      </c>
      <c r="D48" s="10" t="s">
        <v>57</v>
      </c>
      <c r="E48" s="13" t="s">
        <v>821</v>
      </c>
      <c r="F48" s="13" t="s">
        <v>1135</v>
      </c>
      <c r="G48" s="13" t="s">
        <v>1204</v>
      </c>
      <c r="H48" s="11" t="s">
        <v>65</v>
      </c>
      <c r="I48" s="10" t="s">
        <v>1187</v>
      </c>
      <c r="J48" s="10" t="s">
        <v>56</v>
      </c>
      <c r="L48" s="13" t="s">
        <v>1647</v>
      </c>
      <c r="M48" s="13" t="s">
        <v>1631</v>
      </c>
      <c r="N48" s="13" t="s">
        <v>1640</v>
      </c>
      <c r="O48" s="13" t="s">
        <v>1647</v>
      </c>
      <c r="P48" s="13" t="s">
        <v>1631</v>
      </c>
      <c r="R48" s="13" t="s">
        <v>1647</v>
      </c>
      <c r="S48" s="13" t="s">
        <v>1631</v>
      </c>
      <c r="U48" s="13" t="s">
        <v>1647</v>
      </c>
      <c r="V48" s="13" t="s">
        <v>1631</v>
      </c>
      <c r="W48" s="13" t="s">
        <v>1707</v>
      </c>
    </row>
    <row r="49" spans="1:23" ht="105" x14ac:dyDescent="0.25">
      <c r="A49" s="13" t="s">
        <v>331</v>
      </c>
      <c r="B49" s="10" t="s">
        <v>1246</v>
      </c>
      <c r="C49" s="10" t="s">
        <v>1182</v>
      </c>
      <c r="D49" s="10" t="s">
        <v>57</v>
      </c>
      <c r="E49" s="13" t="s">
        <v>821</v>
      </c>
      <c r="F49" s="13" t="s">
        <v>1136</v>
      </c>
      <c r="G49" s="13" t="s">
        <v>1206</v>
      </c>
      <c r="H49" s="11" t="s">
        <v>65</v>
      </c>
      <c r="I49" s="10" t="s">
        <v>1187</v>
      </c>
      <c r="J49" s="10" t="s">
        <v>1207</v>
      </c>
      <c r="L49" s="13" t="s">
        <v>1647</v>
      </c>
      <c r="M49" s="13" t="s">
        <v>1631</v>
      </c>
      <c r="N49" s="13" t="s">
        <v>1640</v>
      </c>
      <c r="O49" s="13" t="s">
        <v>1647</v>
      </c>
      <c r="P49" s="13" t="s">
        <v>1631</v>
      </c>
      <c r="R49" s="13" t="s">
        <v>1647</v>
      </c>
      <c r="S49" s="13" t="s">
        <v>1631</v>
      </c>
      <c r="U49" s="13" t="s">
        <v>1647</v>
      </c>
      <c r="V49" s="13" t="s">
        <v>1631</v>
      </c>
      <c r="W49" s="13" t="s">
        <v>1707</v>
      </c>
    </row>
    <row r="50" spans="1:23" ht="105" x14ac:dyDescent="0.25">
      <c r="A50" s="13" t="s">
        <v>332</v>
      </c>
      <c r="B50" s="10" t="s">
        <v>1247</v>
      </c>
      <c r="C50" s="10" t="s">
        <v>1182</v>
      </c>
      <c r="D50" s="10" t="s">
        <v>57</v>
      </c>
      <c r="E50" s="13" t="s">
        <v>821</v>
      </c>
      <c r="F50" s="13" t="s">
        <v>1137</v>
      </c>
      <c r="G50" s="13" t="s">
        <v>1209</v>
      </c>
      <c r="H50" s="11" t="s">
        <v>65</v>
      </c>
      <c r="I50" s="10" t="s">
        <v>1187</v>
      </c>
      <c r="J50" s="10" t="s">
        <v>56</v>
      </c>
      <c r="L50" s="13" t="s">
        <v>1647</v>
      </c>
      <c r="M50" s="13" t="s">
        <v>1631</v>
      </c>
      <c r="N50" s="13" t="s">
        <v>1640</v>
      </c>
      <c r="O50" s="13" t="s">
        <v>1647</v>
      </c>
      <c r="P50" s="13" t="s">
        <v>1631</v>
      </c>
      <c r="R50" s="13" t="s">
        <v>1647</v>
      </c>
      <c r="S50" s="13" t="s">
        <v>1631</v>
      </c>
      <c r="U50" s="13" t="s">
        <v>1647</v>
      </c>
      <c r="V50" s="13" t="s">
        <v>1631</v>
      </c>
      <c r="W50" s="13" t="s">
        <v>1708</v>
      </c>
    </row>
    <row r="51" spans="1:23" ht="105" x14ac:dyDescent="0.25">
      <c r="A51" s="13" t="s">
        <v>333</v>
      </c>
      <c r="B51" s="10" t="s">
        <v>1248</v>
      </c>
      <c r="C51" s="10" t="s">
        <v>1182</v>
      </c>
      <c r="D51" s="10" t="s">
        <v>57</v>
      </c>
      <c r="E51" s="13" t="s">
        <v>821</v>
      </c>
      <c r="F51" s="13" t="s">
        <v>1138</v>
      </c>
      <c r="G51" s="13" t="s">
        <v>1211</v>
      </c>
      <c r="H51" s="11" t="s">
        <v>65</v>
      </c>
      <c r="I51" s="10" t="s">
        <v>1187</v>
      </c>
      <c r="J51" s="10" t="s">
        <v>1212</v>
      </c>
      <c r="L51" s="13" t="s">
        <v>1647</v>
      </c>
      <c r="M51" s="13" t="s">
        <v>1631</v>
      </c>
      <c r="N51" s="13" t="s">
        <v>1640</v>
      </c>
      <c r="O51" s="13" t="s">
        <v>1647</v>
      </c>
      <c r="P51" s="13" t="s">
        <v>1631</v>
      </c>
      <c r="R51" s="13" t="s">
        <v>1647</v>
      </c>
      <c r="S51" s="13" t="s">
        <v>1631</v>
      </c>
      <c r="U51" s="13" t="s">
        <v>1647</v>
      </c>
      <c r="V51" s="13" t="s">
        <v>1631</v>
      </c>
      <c r="W51" s="13" t="s">
        <v>1708</v>
      </c>
    </row>
    <row r="52" spans="1:23" ht="180" x14ac:dyDescent="0.25">
      <c r="A52" s="13" t="s">
        <v>334</v>
      </c>
      <c r="B52" s="10" t="s">
        <v>1249</v>
      </c>
      <c r="C52" s="10" t="s">
        <v>1182</v>
      </c>
      <c r="D52" s="10" t="s">
        <v>57</v>
      </c>
      <c r="E52" s="13" t="s">
        <v>821</v>
      </c>
      <c r="F52" s="13" t="s">
        <v>1214</v>
      </c>
      <c r="G52" s="13" t="s">
        <v>834</v>
      </c>
      <c r="H52" s="11" t="s">
        <v>65</v>
      </c>
      <c r="I52" s="10" t="s">
        <v>1190</v>
      </c>
      <c r="J52" s="10" t="s">
        <v>56</v>
      </c>
      <c r="L52" s="13" t="s">
        <v>1647</v>
      </c>
      <c r="M52" s="13" t="s">
        <v>1631</v>
      </c>
      <c r="N52" s="13" t="s">
        <v>1640</v>
      </c>
      <c r="O52" s="13" t="s">
        <v>1647</v>
      </c>
      <c r="P52" s="13" t="s">
        <v>1631</v>
      </c>
      <c r="R52" s="13" t="s">
        <v>1647</v>
      </c>
      <c r="S52" s="13" t="s">
        <v>1631</v>
      </c>
      <c r="U52" s="13" t="s">
        <v>1653</v>
      </c>
      <c r="V52" s="13" t="s">
        <v>1723</v>
      </c>
      <c r="W52" s="13"/>
    </row>
    <row r="53" spans="1:23" ht="180" x14ac:dyDescent="0.25">
      <c r="A53" s="13" t="s">
        <v>335</v>
      </c>
      <c r="B53" s="10" t="s">
        <v>1250</v>
      </c>
      <c r="C53" s="10" t="s">
        <v>1182</v>
      </c>
      <c r="D53" s="10" t="s">
        <v>57</v>
      </c>
      <c r="E53" s="13" t="s">
        <v>821</v>
      </c>
      <c r="F53" s="13" t="s">
        <v>1216</v>
      </c>
      <c r="G53" s="13" t="s">
        <v>835</v>
      </c>
      <c r="H53" s="11" t="s">
        <v>65</v>
      </c>
      <c r="I53" s="10" t="s">
        <v>56</v>
      </c>
      <c r="J53" s="10" t="s">
        <v>1217</v>
      </c>
      <c r="L53" s="13" t="s">
        <v>1647</v>
      </c>
      <c r="M53" s="13" t="s">
        <v>1631</v>
      </c>
      <c r="N53" s="13" t="s">
        <v>1640</v>
      </c>
      <c r="O53" s="13" t="s">
        <v>1647</v>
      </c>
      <c r="P53" s="13" t="s">
        <v>1631</v>
      </c>
      <c r="R53" s="13" t="s">
        <v>1647</v>
      </c>
      <c r="S53" s="13" t="s">
        <v>1631</v>
      </c>
      <c r="U53" s="13" t="s">
        <v>1653</v>
      </c>
      <c r="V53" s="20" t="s">
        <v>1725</v>
      </c>
      <c r="W53" s="13"/>
    </row>
    <row r="54" spans="1:23" ht="180" x14ac:dyDescent="0.25">
      <c r="A54" s="13" t="s">
        <v>336</v>
      </c>
      <c r="B54" s="10" t="s">
        <v>1251</v>
      </c>
      <c r="C54" s="10" t="s">
        <v>1182</v>
      </c>
      <c r="D54" s="10" t="s">
        <v>57</v>
      </c>
      <c r="E54" s="13" t="s">
        <v>821</v>
      </c>
      <c r="F54" s="13" t="s">
        <v>1219</v>
      </c>
      <c r="G54" s="13" t="s">
        <v>835</v>
      </c>
      <c r="H54" s="11" t="s">
        <v>65</v>
      </c>
      <c r="I54" s="10" t="s">
        <v>56</v>
      </c>
      <c r="J54" s="10" t="s">
        <v>1220</v>
      </c>
      <c r="L54" s="13" t="s">
        <v>1647</v>
      </c>
      <c r="M54" s="13" t="s">
        <v>1631</v>
      </c>
      <c r="N54" s="13" t="s">
        <v>1640</v>
      </c>
      <c r="O54" s="13" t="s">
        <v>1647</v>
      </c>
      <c r="P54" s="13" t="s">
        <v>1631</v>
      </c>
      <c r="R54" s="13" t="s">
        <v>1647</v>
      </c>
      <c r="S54" s="13" t="s">
        <v>1631</v>
      </c>
      <c r="U54" s="13" t="s">
        <v>1653</v>
      </c>
      <c r="V54" s="20" t="s">
        <v>1726</v>
      </c>
      <c r="W54" s="13"/>
    </row>
    <row r="55" spans="1:23" ht="180" x14ac:dyDescent="0.25">
      <c r="A55" s="13" t="s">
        <v>337</v>
      </c>
      <c r="B55" s="10" t="s">
        <v>1252</v>
      </c>
      <c r="C55" s="10" t="s">
        <v>1182</v>
      </c>
      <c r="D55" s="10" t="s">
        <v>57</v>
      </c>
      <c r="E55" s="13" t="s">
        <v>821</v>
      </c>
      <c r="F55" s="13" t="s">
        <v>1222</v>
      </c>
      <c r="G55" s="13" t="s">
        <v>835</v>
      </c>
      <c r="H55" s="11" t="s">
        <v>65</v>
      </c>
      <c r="I55" s="10" t="s">
        <v>56</v>
      </c>
      <c r="J55" s="10" t="s">
        <v>1223</v>
      </c>
      <c r="L55" s="13" t="s">
        <v>1647</v>
      </c>
      <c r="M55" s="13" t="s">
        <v>1631</v>
      </c>
      <c r="N55" s="13" t="s">
        <v>1640</v>
      </c>
      <c r="O55" s="13" t="s">
        <v>1647</v>
      </c>
      <c r="P55" s="13" t="s">
        <v>1631</v>
      </c>
      <c r="R55" s="13" t="s">
        <v>1647</v>
      </c>
      <c r="S55" s="13" t="s">
        <v>1631</v>
      </c>
      <c r="U55" s="13" t="s">
        <v>1653</v>
      </c>
      <c r="V55" s="13" t="s">
        <v>1724</v>
      </c>
      <c r="W55" s="13"/>
    </row>
    <row r="56" spans="1:23" ht="180" x14ac:dyDescent="0.25">
      <c r="A56" s="13" t="s">
        <v>338</v>
      </c>
      <c r="B56" s="10" t="s">
        <v>1253</v>
      </c>
      <c r="C56" s="10" t="s">
        <v>1182</v>
      </c>
      <c r="D56" s="10" t="s">
        <v>57</v>
      </c>
      <c r="E56" s="13" t="s">
        <v>821</v>
      </c>
      <c r="F56" s="13" t="s">
        <v>1225</v>
      </c>
      <c r="G56" s="13" t="s">
        <v>835</v>
      </c>
      <c r="H56" s="11" t="s">
        <v>65</v>
      </c>
      <c r="I56" s="10" t="s">
        <v>56</v>
      </c>
      <c r="J56" s="10" t="s">
        <v>1226</v>
      </c>
      <c r="L56" s="13" t="s">
        <v>1647</v>
      </c>
      <c r="M56" s="13" t="s">
        <v>1631</v>
      </c>
      <c r="N56" s="13" t="s">
        <v>1640</v>
      </c>
      <c r="O56" s="13" t="s">
        <v>1647</v>
      </c>
      <c r="P56" s="13" t="s">
        <v>1631</v>
      </c>
      <c r="R56" s="13" t="s">
        <v>1647</v>
      </c>
      <c r="S56" s="13" t="s">
        <v>1631</v>
      </c>
      <c r="U56" s="13" t="s">
        <v>1653</v>
      </c>
      <c r="V56" s="20" t="s">
        <v>1727</v>
      </c>
      <c r="W56" s="13"/>
    </row>
    <row r="57" spans="1:23" ht="180" x14ac:dyDescent="0.25">
      <c r="A57" s="13" t="s">
        <v>339</v>
      </c>
      <c r="B57" s="10" t="s">
        <v>1254</v>
      </c>
      <c r="C57" s="10" t="s">
        <v>1182</v>
      </c>
      <c r="D57" s="10" t="s">
        <v>57</v>
      </c>
      <c r="E57" s="13" t="s">
        <v>821</v>
      </c>
      <c r="F57" s="13" t="s">
        <v>1228</v>
      </c>
      <c r="G57" s="13" t="s">
        <v>835</v>
      </c>
      <c r="H57" s="11" t="s">
        <v>65</v>
      </c>
      <c r="I57" s="10" t="s">
        <v>56</v>
      </c>
      <c r="J57" s="10" t="s">
        <v>1229</v>
      </c>
      <c r="L57" s="13" t="s">
        <v>1647</v>
      </c>
      <c r="M57" s="13" t="s">
        <v>1631</v>
      </c>
      <c r="N57" s="13" t="s">
        <v>1640</v>
      </c>
      <c r="O57" s="13" t="s">
        <v>1647</v>
      </c>
      <c r="P57" s="13" t="s">
        <v>1631</v>
      </c>
      <c r="R57" s="13" t="s">
        <v>1647</v>
      </c>
      <c r="S57" s="13" t="s">
        <v>1631</v>
      </c>
      <c r="U57" s="13" t="s">
        <v>1653</v>
      </c>
      <c r="V57" s="20" t="s">
        <v>1728</v>
      </c>
      <c r="W57" s="13"/>
    </row>
    <row r="58" spans="1:23" ht="180" x14ac:dyDescent="0.25">
      <c r="A58" s="13" t="s">
        <v>340</v>
      </c>
      <c r="B58" s="10" t="s">
        <v>1255</v>
      </c>
      <c r="C58" s="10" t="s">
        <v>1182</v>
      </c>
      <c r="D58" s="10" t="s">
        <v>57</v>
      </c>
      <c r="E58" s="13" t="s">
        <v>821</v>
      </c>
      <c r="F58" s="13" t="s">
        <v>1231</v>
      </c>
      <c r="G58" s="13" t="s">
        <v>835</v>
      </c>
      <c r="H58" s="11" t="s">
        <v>65</v>
      </c>
      <c r="I58" s="10" t="s">
        <v>56</v>
      </c>
      <c r="J58" s="10" t="s">
        <v>1232</v>
      </c>
      <c r="L58" s="13" t="s">
        <v>1647</v>
      </c>
      <c r="M58" s="13" t="s">
        <v>1631</v>
      </c>
      <c r="N58" s="13" t="s">
        <v>1640</v>
      </c>
      <c r="O58" s="13" t="s">
        <v>1647</v>
      </c>
      <c r="P58" s="13" t="s">
        <v>1631</v>
      </c>
      <c r="R58" s="13" t="s">
        <v>1647</v>
      </c>
      <c r="S58" s="13" t="s">
        <v>1631</v>
      </c>
      <c r="U58" s="13" t="s">
        <v>1653</v>
      </c>
      <c r="V58" s="20" t="s">
        <v>1729</v>
      </c>
      <c r="W58" s="13"/>
    </row>
    <row r="59" spans="1:23" ht="150" x14ac:dyDescent="0.25">
      <c r="A59" s="13" t="s">
        <v>341</v>
      </c>
      <c r="B59" s="10" t="s">
        <v>1256</v>
      </c>
      <c r="C59" s="10" t="s">
        <v>1182</v>
      </c>
      <c r="D59" s="10" t="s">
        <v>57</v>
      </c>
      <c r="E59" s="13" t="s">
        <v>821</v>
      </c>
      <c r="F59" s="13" t="s">
        <v>1234</v>
      </c>
      <c r="G59" s="13" t="s">
        <v>835</v>
      </c>
      <c r="H59" s="11" t="s">
        <v>65</v>
      </c>
      <c r="I59" s="10" t="s">
        <v>1190</v>
      </c>
      <c r="J59" s="10" t="s">
        <v>56</v>
      </c>
      <c r="L59" s="13" t="s">
        <v>1647</v>
      </c>
      <c r="M59" s="13" t="s">
        <v>1631</v>
      </c>
      <c r="N59" s="13" t="s">
        <v>1640</v>
      </c>
      <c r="O59" s="13" t="s">
        <v>1647</v>
      </c>
      <c r="P59" s="13" t="s">
        <v>1631</v>
      </c>
      <c r="R59" s="13" t="s">
        <v>1647</v>
      </c>
      <c r="S59" s="13" t="s">
        <v>1631</v>
      </c>
      <c r="U59" s="13" t="s">
        <v>1647</v>
      </c>
      <c r="V59" s="13" t="s">
        <v>1631</v>
      </c>
      <c r="W59" s="13"/>
    </row>
    <row r="60" spans="1:23" ht="150" x14ac:dyDescent="0.25">
      <c r="A60" s="13" t="s">
        <v>342</v>
      </c>
      <c r="B60" s="10" t="s">
        <v>1257</v>
      </c>
      <c r="C60" s="10" t="s">
        <v>1182</v>
      </c>
      <c r="D60" s="10" t="s">
        <v>57</v>
      </c>
      <c r="E60" s="13" t="s">
        <v>821</v>
      </c>
      <c r="F60" s="13" t="s">
        <v>1236</v>
      </c>
      <c r="G60" s="13" t="s">
        <v>835</v>
      </c>
      <c r="H60" s="11" t="s">
        <v>65</v>
      </c>
      <c r="I60" s="10" t="s">
        <v>1190</v>
      </c>
      <c r="J60" s="10" t="s">
        <v>56</v>
      </c>
      <c r="L60" s="13" t="s">
        <v>1647</v>
      </c>
      <c r="M60" s="13" t="s">
        <v>1631</v>
      </c>
      <c r="N60" s="13" t="s">
        <v>1640</v>
      </c>
      <c r="O60" s="13" t="s">
        <v>1647</v>
      </c>
      <c r="P60" s="13" t="s">
        <v>1631</v>
      </c>
      <c r="R60" s="13" t="s">
        <v>1647</v>
      </c>
      <c r="S60" s="13" t="s">
        <v>1631</v>
      </c>
      <c r="U60" s="13" t="s">
        <v>1647</v>
      </c>
      <c r="V60" s="13" t="s">
        <v>1631</v>
      </c>
      <c r="W60" s="13"/>
    </row>
    <row r="61" spans="1:23" ht="150" x14ac:dyDescent="0.25">
      <c r="A61" s="13" t="s">
        <v>343</v>
      </c>
      <c r="B61" s="10" t="s">
        <v>1258</v>
      </c>
      <c r="C61" s="10" t="s">
        <v>1182</v>
      </c>
      <c r="D61" s="10" t="s">
        <v>57</v>
      </c>
      <c r="E61" s="13" t="s">
        <v>821</v>
      </c>
      <c r="F61" s="13" t="s">
        <v>1238</v>
      </c>
      <c r="G61" s="13" t="s">
        <v>835</v>
      </c>
      <c r="H61" s="11" t="s">
        <v>65</v>
      </c>
      <c r="I61" s="10" t="s">
        <v>1190</v>
      </c>
      <c r="J61" s="10" t="s">
        <v>56</v>
      </c>
      <c r="L61" s="13" t="s">
        <v>1647</v>
      </c>
      <c r="M61" s="13" t="s">
        <v>1631</v>
      </c>
      <c r="N61" s="13" t="s">
        <v>1640</v>
      </c>
      <c r="O61" s="13" t="s">
        <v>1647</v>
      </c>
      <c r="P61" s="13" t="s">
        <v>1631</v>
      </c>
      <c r="R61" s="13" t="s">
        <v>1647</v>
      </c>
      <c r="S61" s="13" t="s">
        <v>1631</v>
      </c>
      <c r="U61" s="13" t="s">
        <v>1647</v>
      </c>
      <c r="V61" s="13" t="s">
        <v>1631</v>
      </c>
      <c r="W61" s="13"/>
    </row>
    <row r="62" spans="1:23" ht="90" x14ac:dyDescent="0.25">
      <c r="A62" s="13" t="s">
        <v>344</v>
      </c>
      <c r="B62" s="10" t="s">
        <v>930</v>
      </c>
      <c r="C62" s="10" t="s">
        <v>1182</v>
      </c>
      <c r="D62" s="10" t="s">
        <v>57</v>
      </c>
      <c r="E62" s="13" t="s">
        <v>821</v>
      </c>
      <c r="F62" s="13" t="s">
        <v>847</v>
      </c>
      <c r="G62" s="13" t="s">
        <v>898</v>
      </c>
      <c r="H62" s="11" t="s">
        <v>65</v>
      </c>
      <c r="I62" s="10" t="s">
        <v>1187</v>
      </c>
      <c r="J62" s="10" t="s">
        <v>1619</v>
      </c>
      <c r="L62" s="13" t="s">
        <v>1647</v>
      </c>
      <c r="M62" s="13" t="s">
        <v>1631</v>
      </c>
      <c r="N62" s="13" t="s">
        <v>1640</v>
      </c>
      <c r="O62" s="13" t="s">
        <v>1647</v>
      </c>
      <c r="P62" s="13" t="s">
        <v>1631</v>
      </c>
      <c r="R62" s="13" t="s">
        <v>1647</v>
      </c>
      <c r="S62" s="13" t="s">
        <v>1631</v>
      </c>
      <c r="U62" s="13" t="s">
        <v>1653</v>
      </c>
      <c r="V62" s="20" t="s">
        <v>1730</v>
      </c>
      <c r="W62" s="13"/>
    </row>
    <row r="63" spans="1:23" ht="195" x14ac:dyDescent="0.25">
      <c r="A63" s="13" t="s">
        <v>345</v>
      </c>
      <c r="B63" s="10" t="s">
        <v>931</v>
      </c>
      <c r="C63" s="10" t="s">
        <v>1182</v>
      </c>
      <c r="D63" s="10" t="s">
        <v>57</v>
      </c>
      <c r="E63" s="13" t="s">
        <v>821</v>
      </c>
      <c r="F63" s="13" t="s">
        <v>848</v>
      </c>
      <c r="G63" s="13" t="s">
        <v>899</v>
      </c>
      <c r="H63" s="11" t="s">
        <v>65</v>
      </c>
      <c r="I63" s="10" t="s">
        <v>1190</v>
      </c>
      <c r="J63" s="10" t="s">
        <v>1620</v>
      </c>
      <c r="L63" s="13" t="s">
        <v>1647</v>
      </c>
      <c r="M63" s="13" t="s">
        <v>1631</v>
      </c>
      <c r="N63" s="13" t="s">
        <v>1640</v>
      </c>
      <c r="O63" s="13" t="s">
        <v>1647</v>
      </c>
      <c r="P63" s="13" t="s">
        <v>1631</v>
      </c>
      <c r="R63" s="13" t="s">
        <v>1647</v>
      </c>
      <c r="S63" s="13" t="s">
        <v>1631</v>
      </c>
      <c r="U63" s="13" t="s">
        <v>1653</v>
      </c>
      <c r="V63" s="20" t="s">
        <v>1731</v>
      </c>
      <c r="W63" s="13"/>
    </row>
    <row r="64" spans="1:23" ht="75" x14ac:dyDescent="0.25">
      <c r="A64" s="13" t="s">
        <v>346</v>
      </c>
      <c r="B64" s="10" t="s">
        <v>877</v>
      </c>
      <c r="C64" s="10" t="s">
        <v>1182</v>
      </c>
      <c r="D64" s="10" t="s">
        <v>57</v>
      </c>
      <c r="E64" s="13" t="s">
        <v>821</v>
      </c>
      <c r="F64" s="13" t="s">
        <v>847</v>
      </c>
      <c r="G64" s="13" t="s">
        <v>866</v>
      </c>
      <c r="H64" s="11" t="s">
        <v>65</v>
      </c>
      <c r="I64" s="10" t="s">
        <v>1190</v>
      </c>
      <c r="J64" s="10" t="s">
        <v>56</v>
      </c>
      <c r="L64" s="13" t="s">
        <v>1647</v>
      </c>
      <c r="M64" s="13" t="s">
        <v>1631</v>
      </c>
      <c r="N64" s="13" t="s">
        <v>1640</v>
      </c>
      <c r="O64" s="13" t="s">
        <v>1647</v>
      </c>
      <c r="P64" s="13" t="s">
        <v>1631</v>
      </c>
      <c r="R64" s="13" t="s">
        <v>1647</v>
      </c>
      <c r="S64" s="13" t="s">
        <v>1631</v>
      </c>
      <c r="U64" s="13" t="s">
        <v>1653</v>
      </c>
      <c r="V64" s="20" t="s">
        <v>1732</v>
      </c>
      <c r="W64" s="13"/>
    </row>
    <row r="65" spans="1:23" ht="105" x14ac:dyDescent="0.25">
      <c r="A65" s="13" t="s">
        <v>347</v>
      </c>
      <c r="B65" s="10" t="s">
        <v>878</v>
      </c>
      <c r="C65" s="10" t="s">
        <v>1182</v>
      </c>
      <c r="D65" s="10" t="s">
        <v>57</v>
      </c>
      <c r="E65" s="13" t="s">
        <v>821</v>
      </c>
      <c r="F65" s="13" t="s">
        <v>848</v>
      </c>
      <c r="G65" s="13" t="s">
        <v>868</v>
      </c>
      <c r="H65" s="11" t="s">
        <v>65</v>
      </c>
      <c r="I65" s="10" t="s">
        <v>1190</v>
      </c>
      <c r="J65" s="10" t="s">
        <v>869</v>
      </c>
      <c r="L65" s="13" t="s">
        <v>1647</v>
      </c>
      <c r="M65" s="13" t="s">
        <v>1631</v>
      </c>
      <c r="N65" s="13" t="s">
        <v>1640</v>
      </c>
      <c r="O65" s="13" t="s">
        <v>1647</v>
      </c>
      <c r="P65" s="13" t="s">
        <v>1631</v>
      </c>
      <c r="R65" s="13" t="s">
        <v>1647</v>
      </c>
      <c r="S65" s="13" t="s">
        <v>1631</v>
      </c>
      <c r="U65" s="13" t="s">
        <v>1653</v>
      </c>
      <c r="V65" s="20" t="s">
        <v>1733</v>
      </c>
      <c r="W65" s="13"/>
    </row>
    <row r="66" spans="1:23" ht="409.5" x14ac:dyDescent="0.25">
      <c r="A66" s="13" t="s">
        <v>348</v>
      </c>
      <c r="B66" s="10" t="s">
        <v>932</v>
      </c>
      <c r="C66" s="10" t="s">
        <v>1182</v>
      </c>
      <c r="D66" s="10" t="s">
        <v>57</v>
      </c>
      <c r="E66" s="13" t="s">
        <v>857</v>
      </c>
      <c r="F66" s="13" t="s">
        <v>870</v>
      </c>
      <c r="G66" s="13" t="s">
        <v>901</v>
      </c>
      <c r="H66" s="11" t="s">
        <v>65</v>
      </c>
      <c r="I66" s="10" t="s">
        <v>1188</v>
      </c>
      <c r="J66" s="10" t="s">
        <v>871</v>
      </c>
      <c r="L66" s="13" t="s">
        <v>1647</v>
      </c>
      <c r="M66" s="13" t="s">
        <v>1631</v>
      </c>
      <c r="N66" s="13" t="s">
        <v>1640</v>
      </c>
      <c r="O66" s="13" t="s">
        <v>1647</v>
      </c>
      <c r="P66" s="13" t="s">
        <v>1631</v>
      </c>
      <c r="R66" s="13" t="s">
        <v>1647</v>
      </c>
      <c r="S66" s="13" t="s">
        <v>1631</v>
      </c>
      <c r="U66" s="13" t="s">
        <v>1647</v>
      </c>
      <c r="V66" s="13" t="s">
        <v>1631</v>
      </c>
      <c r="W66" s="13" t="s">
        <v>1734</v>
      </c>
    </row>
    <row r="67" spans="1:23" ht="210" x14ac:dyDescent="0.25">
      <c r="A67" s="13" t="s">
        <v>349</v>
      </c>
      <c r="B67" s="10" t="s">
        <v>933</v>
      </c>
      <c r="C67" s="10" t="s">
        <v>1182</v>
      </c>
      <c r="D67" s="10" t="s">
        <v>57</v>
      </c>
      <c r="E67" s="13" t="s">
        <v>821</v>
      </c>
      <c r="F67" s="13" t="s">
        <v>872</v>
      </c>
      <c r="G67" s="13" t="s">
        <v>922</v>
      </c>
      <c r="H67" s="11" t="s">
        <v>65</v>
      </c>
      <c r="I67" s="10" t="s">
        <v>56</v>
      </c>
      <c r="J67" s="10" t="s">
        <v>1183</v>
      </c>
      <c r="L67" s="13" t="s">
        <v>1647</v>
      </c>
      <c r="M67" s="13" t="s">
        <v>1631</v>
      </c>
      <c r="N67" s="13" t="s">
        <v>1640</v>
      </c>
      <c r="O67" s="13" t="s">
        <v>1647</v>
      </c>
      <c r="P67" s="13" t="s">
        <v>1631</v>
      </c>
      <c r="R67" s="13" t="s">
        <v>1647</v>
      </c>
      <c r="S67" s="13" t="s">
        <v>1631</v>
      </c>
      <c r="U67" s="13" t="s">
        <v>1647</v>
      </c>
      <c r="V67" s="13" t="s">
        <v>1631</v>
      </c>
      <c r="W67" s="13" t="s">
        <v>1734</v>
      </c>
    </row>
    <row r="68" spans="1:23" ht="180" x14ac:dyDescent="0.25">
      <c r="A68" s="13" t="s">
        <v>350</v>
      </c>
      <c r="B68" s="10" t="s">
        <v>934</v>
      </c>
      <c r="C68" s="10" t="s">
        <v>1182</v>
      </c>
      <c r="D68" s="10" t="s">
        <v>57</v>
      </c>
      <c r="E68" s="13" t="s">
        <v>821</v>
      </c>
      <c r="F68" s="13" t="s">
        <v>870</v>
      </c>
      <c r="G68" s="13" t="s">
        <v>922</v>
      </c>
      <c r="H68" s="11" t="s">
        <v>65</v>
      </c>
      <c r="I68" s="10" t="s">
        <v>56</v>
      </c>
      <c r="J68" s="10" t="s">
        <v>1184</v>
      </c>
      <c r="L68" s="13" t="s">
        <v>1647</v>
      </c>
      <c r="M68" s="13" t="s">
        <v>1631</v>
      </c>
      <c r="N68" s="13" t="s">
        <v>1640</v>
      </c>
      <c r="O68" s="13" t="s">
        <v>1647</v>
      </c>
      <c r="P68" s="13" t="s">
        <v>1631</v>
      </c>
      <c r="R68" s="13" t="s">
        <v>1647</v>
      </c>
      <c r="S68" s="13" t="s">
        <v>1631</v>
      </c>
      <c r="U68" s="13" t="s">
        <v>1647</v>
      </c>
      <c r="V68" s="13" t="s">
        <v>1631</v>
      </c>
      <c r="W68" s="13" t="s">
        <v>1734</v>
      </c>
    </row>
    <row r="69" spans="1:23" ht="165" x14ac:dyDescent="0.25">
      <c r="A69" s="13" t="s">
        <v>351</v>
      </c>
      <c r="B69" s="10" t="s">
        <v>935</v>
      </c>
      <c r="C69" s="10" t="s">
        <v>1182</v>
      </c>
      <c r="D69" s="10" t="s">
        <v>57</v>
      </c>
      <c r="E69" s="13" t="s">
        <v>821</v>
      </c>
      <c r="F69" s="13" t="s">
        <v>879</v>
      </c>
      <c r="G69" s="13" t="s">
        <v>922</v>
      </c>
      <c r="H69" s="11" t="s">
        <v>65</v>
      </c>
      <c r="I69" s="10" t="s">
        <v>1187</v>
      </c>
      <c r="J69" s="10" t="s">
        <v>56</v>
      </c>
      <c r="L69" s="13" t="s">
        <v>1647</v>
      </c>
      <c r="M69" s="13" t="s">
        <v>1631</v>
      </c>
      <c r="N69" s="13" t="s">
        <v>1640</v>
      </c>
      <c r="O69" s="13" t="s">
        <v>1647</v>
      </c>
      <c r="P69" s="13" t="s">
        <v>1631</v>
      </c>
      <c r="R69" s="13" t="s">
        <v>1647</v>
      </c>
      <c r="S69" s="13" t="s">
        <v>1631</v>
      </c>
      <c r="U69" s="13" t="s">
        <v>1647</v>
      </c>
      <c r="V69" s="13" t="s">
        <v>1631</v>
      </c>
      <c r="W69" s="13" t="s">
        <v>1734</v>
      </c>
    </row>
    <row r="70" spans="1:23" ht="165" x14ac:dyDescent="0.25">
      <c r="A70" s="13" t="s">
        <v>352</v>
      </c>
      <c r="B70" s="10" t="s">
        <v>936</v>
      </c>
      <c r="C70" s="10" t="s">
        <v>1182</v>
      </c>
      <c r="D70" s="10" t="s">
        <v>57</v>
      </c>
      <c r="E70" s="13" t="s">
        <v>821</v>
      </c>
      <c r="F70" s="13" t="s">
        <v>880</v>
      </c>
      <c r="G70" s="13" t="s">
        <v>922</v>
      </c>
      <c r="H70" s="11" t="s">
        <v>65</v>
      </c>
      <c r="I70" s="10" t="s">
        <v>1187</v>
      </c>
      <c r="J70" s="10" t="s">
        <v>56</v>
      </c>
      <c r="L70" s="13" t="s">
        <v>1647</v>
      </c>
      <c r="M70" s="13" t="s">
        <v>1631</v>
      </c>
      <c r="N70" s="13" t="s">
        <v>1640</v>
      </c>
      <c r="O70" s="13" t="s">
        <v>1647</v>
      </c>
      <c r="P70" s="13" t="s">
        <v>1631</v>
      </c>
      <c r="R70" s="13" t="s">
        <v>1647</v>
      </c>
      <c r="S70" s="13" t="s">
        <v>1631</v>
      </c>
      <c r="U70" s="13" t="s">
        <v>1647</v>
      </c>
      <c r="V70" s="13" t="s">
        <v>1631</v>
      </c>
      <c r="W70" s="13" t="s">
        <v>1734</v>
      </c>
    </row>
    <row r="71" spans="1:23" ht="135" x14ac:dyDescent="0.25">
      <c r="A71" s="13" t="s">
        <v>353</v>
      </c>
      <c r="B71" s="10" t="s">
        <v>937</v>
      </c>
      <c r="C71" s="10" t="s">
        <v>1182</v>
      </c>
      <c r="D71" s="10" t="s">
        <v>57</v>
      </c>
      <c r="E71" s="13" t="s">
        <v>821</v>
      </c>
      <c r="F71" s="13" t="s">
        <v>881</v>
      </c>
      <c r="G71" s="13" t="s">
        <v>922</v>
      </c>
      <c r="H71" s="11" t="s">
        <v>65</v>
      </c>
      <c r="I71" s="10" t="s">
        <v>1187</v>
      </c>
      <c r="J71" s="10" t="s">
        <v>56</v>
      </c>
      <c r="L71" s="13" t="s">
        <v>1647</v>
      </c>
      <c r="M71" s="13" t="s">
        <v>1631</v>
      </c>
      <c r="N71" s="13" t="s">
        <v>1640</v>
      </c>
      <c r="O71" s="13" t="s">
        <v>1647</v>
      </c>
      <c r="P71" s="13" t="s">
        <v>1631</v>
      </c>
      <c r="R71" s="13" t="s">
        <v>1647</v>
      </c>
      <c r="S71" s="13" t="s">
        <v>1631</v>
      </c>
      <c r="U71" s="13" t="s">
        <v>1647</v>
      </c>
      <c r="V71" s="13" t="s">
        <v>1631</v>
      </c>
      <c r="W71" s="13" t="s">
        <v>1734</v>
      </c>
    </row>
    <row r="72" spans="1:23" ht="135" x14ac:dyDescent="0.25">
      <c r="A72" s="13" t="s">
        <v>354</v>
      </c>
      <c r="B72" s="10" t="s">
        <v>938</v>
      </c>
      <c r="C72" s="10" t="s">
        <v>1182</v>
      </c>
      <c r="D72" s="10" t="s">
        <v>57</v>
      </c>
      <c r="E72" s="13" t="s">
        <v>821</v>
      </c>
      <c r="F72" s="13" t="s">
        <v>882</v>
      </c>
      <c r="G72" s="13" t="s">
        <v>922</v>
      </c>
      <c r="H72" s="11" t="s">
        <v>65</v>
      </c>
      <c r="I72" s="10" t="s">
        <v>1187</v>
      </c>
      <c r="J72" s="10" t="s">
        <v>56</v>
      </c>
      <c r="L72" s="13" t="s">
        <v>1647</v>
      </c>
      <c r="M72" s="13" t="s">
        <v>1631</v>
      </c>
      <c r="N72" s="13" t="s">
        <v>1640</v>
      </c>
      <c r="O72" s="13" t="s">
        <v>1647</v>
      </c>
      <c r="P72" s="13" t="s">
        <v>1631</v>
      </c>
      <c r="R72" s="13" t="s">
        <v>1647</v>
      </c>
      <c r="S72" s="13" t="s">
        <v>1631</v>
      </c>
      <c r="U72" s="13" t="s">
        <v>1647</v>
      </c>
      <c r="V72" s="13" t="s">
        <v>1631</v>
      </c>
      <c r="W72" s="13" t="s">
        <v>1734</v>
      </c>
    </row>
    <row r="73" spans="1:23" ht="210" hidden="1" x14ac:dyDescent="0.25">
      <c r="A73" s="13" t="s">
        <v>355</v>
      </c>
      <c r="B73" s="13" t="s">
        <v>1259</v>
      </c>
      <c r="C73" s="10" t="s">
        <v>1177</v>
      </c>
      <c r="D73" s="10" t="s">
        <v>57</v>
      </c>
      <c r="E73" s="13" t="s">
        <v>1260</v>
      </c>
      <c r="F73" s="13" t="s">
        <v>915</v>
      </c>
      <c r="G73" s="13" t="s">
        <v>1197</v>
      </c>
      <c r="H73" s="11" t="s">
        <v>65</v>
      </c>
      <c r="I73" s="10" t="s">
        <v>1190</v>
      </c>
      <c r="J73" s="10" t="s">
        <v>814</v>
      </c>
      <c r="L73" s="13" t="s">
        <v>1647</v>
      </c>
      <c r="M73" s="13" t="s">
        <v>1632</v>
      </c>
      <c r="N73" s="13" t="s">
        <v>1636</v>
      </c>
      <c r="O73" s="13" t="s">
        <v>1647</v>
      </c>
      <c r="P73" s="13" t="s">
        <v>1631</v>
      </c>
      <c r="Q73" s="13" t="s">
        <v>1681</v>
      </c>
      <c r="R73" s="13" t="s">
        <v>1653</v>
      </c>
      <c r="S73" s="13" t="s">
        <v>1683</v>
      </c>
      <c r="T73" s="13" t="s">
        <v>1679</v>
      </c>
      <c r="U73" s="13" t="s">
        <v>1647</v>
      </c>
      <c r="V73" s="13" t="s">
        <v>1631</v>
      </c>
      <c r="W73" s="13"/>
    </row>
    <row r="74" spans="1:23" ht="120" hidden="1" x14ac:dyDescent="0.25">
      <c r="A74" s="13" t="s">
        <v>356</v>
      </c>
      <c r="B74" s="10" t="s">
        <v>939</v>
      </c>
      <c r="C74" s="10" t="s">
        <v>1185</v>
      </c>
      <c r="D74" s="10" t="s">
        <v>57</v>
      </c>
      <c r="E74" s="13" t="s">
        <v>822</v>
      </c>
      <c r="F74" s="13" t="s">
        <v>816</v>
      </c>
      <c r="G74" s="13" t="s">
        <v>896</v>
      </c>
      <c r="H74" s="11" t="s">
        <v>65</v>
      </c>
      <c r="I74" s="10" t="s">
        <v>1187</v>
      </c>
      <c r="J74" s="10" t="s">
        <v>56</v>
      </c>
      <c r="L74" s="13" t="s">
        <v>1647</v>
      </c>
      <c r="M74" s="13" t="s">
        <v>1637</v>
      </c>
      <c r="N74" s="13" t="s">
        <v>1638</v>
      </c>
      <c r="O74" s="13" t="s">
        <v>1647</v>
      </c>
      <c r="P74" s="13" t="s">
        <v>1631</v>
      </c>
      <c r="U74" s="13" t="s">
        <v>1647</v>
      </c>
      <c r="V74" s="13" t="s">
        <v>1631</v>
      </c>
      <c r="W74" s="13"/>
    </row>
    <row r="75" spans="1:23" ht="135" hidden="1" x14ac:dyDescent="0.25">
      <c r="A75" s="13" t="s">
        <v>357</v>
      </c>
      <c r="B75" s="10" t="s">
        <v>940</v>
      </c>
      <c r="C75" s="10" t="s">
        <v>1185</v>
      </c>
      <c r="D75" s="10" t="s">
        <v>57</v>
      </c>
      <c r="E75" s="13" t="s">
        <v>823</v>
      </c>
      <c r="F75" s="13" t="s">
        <v>820</v>
      </c>
      <c r="G75" s="13" t="s">
        <v>897</v>
      </c>
      <c r="H75" s="11" t="s">
        <v>65</v>
      </c>
      <c r="I75" s="10" t="s">
        <v>1187</v>
      </c>
      <c r="J75" s="10" t="s">
        <v>56</v>
      </c>
      <c r="L75" s="13" t="s">
        <v>1653</v>
      </c>
      <c r="M75" s="13" t="s">
        <v>1625</v>
      </c>
      <c r="O75" s="13" t="s">
        <v>1647</v>
      </c>
      <c r="P75" s="13" t="s">
        <v>1631</v>
      </c>
      <c r="U75" s="13" t="s">
        <v>1647</v>
      </c>
      <c r="V75" s="13" t="s">
        <v>1631</v>
      </c>
      <c r="W75" s="13"/>
    </row>
    <row r="76" spans="1:23" ht="105" x14ac:dyDescent="0.25">
      <c r="A76" s="13" t="s">
        <v>358</v>
      </c>
      <c r="B76" s="10" t="s">
        <v>1261</v>
      </c>
      <c r="C76" s="10" t="s">
        <v>1182</v>
      </c>
      <c r="D76" s="10" t="s">
        <v>57</v>
      </c>
      <c r="E76" s="13" t="s">
        <v>824</v>
      </c>
      <c r="F76" s="13" t="s">
        <v>1133</v>
      </c>
      <c r="G76" s="13" t="s">
        <v>1199</v>
      </c>
      <c r="H76" s="11" t="s">
        <v>65</v>
      </c>
      <c r="I76" s="10" t="s">
        <v>1187</v>
      </c>
      <c r="J76" s="10" t="s">
        <v>56</v>
      </c>
      <c r="L76" s="13" t="s">
        <v>1647</v>
      </c>
      <c r="M76" s="13" t="s">
        <v>1631</v>
      </c>
      <c r="N76" s="13" t="s">
        <v>1640</v>
      </c>
      <c r="O76" s="13" t="s">
        <v>1647</v>
      </c>
      <c r="P76" s="13" t="s">
        <v>1631</v>
      </c>
      <c r="R76" s="13" t="s">
        <v>1647</v>
      </c>
      <c r="S76" s="13" t="s">
        <v>1631</v>
      </c>
      <c r="U76" s="13" t="s">
        <v>1647</v>
      </c>
      <c r="V76" s="13" t="s">
        <v>1631</v>
      </c>
      <c r="W76" s="13" t="s">
        <v>1706</v>
      </c>
    </row>
    <row r="77" spans="1:23" ht="105" x14ac:dyDescent="0.25">
      <c r="A77" s="13" t="s">
        <v>359</v>
      </c>
      <c r="B77" s="10" t="s">
        <v>1262</v>
      </c>
      <c r="C77" s="10" t="s">
        <v>1182</v>
      </c>
      <c r="D77" s="10" t="s">
        <v>57</v>
      </c>
      <c r="E77" s="13" t="s">
        <v>824</v>
      </c>
      <c r="F77" s="13" t="s">
        <v>1134</v>
      </c>
      <c r="G77" s="13" t="s">
        <v>1201</v>
      </c>
      <c r="H77" s="11" t="s">
        <v>65</v>
      </c>
      <c r="I77" s="10" t="s">
        <v>1187</v>
      </c>
      <c r="J77" s="10" t="s">
        <v>1202</v>
      </c>
      <c r="L77" s="13" t="s">
        <v>1647</v>
      </c>
      <c r="M77" s="13" t="s">
        <v>1631</v>
      </c>
      <c r="N77" s="13" t="s">
        <v>1640</v>
      </c>
      <c r="O77" s="13" t="s">
        <v>1647</v>
      </c>
      <c r="P77" s="13" t="s">
        <v>1631</v>
      </c>
      <c r="R77" s="13" t="s">
        <v>1647</v>
      </c>
      <c r="S77" s="13" t="s">
        <v>1631</v>
      </c>
      <c r="U77" s="13" t="s">
        <v>1647</v>
      </c>
      <c r="V77" s="13" t="s">
        <v>1631</v>
      </c>
      <c r="W77" s="13" t="s">
        <v>1706</v>
      </c>
    </row>
    <row r="78" spans="1:23" ht="105" x14ac:dyDescent="0.25">
      <c r="A78" s="13" t="s">
        <v>360</v>
      </c>
      <c r="B78" s="10" t="s">
        <v>1263</v>
      </c>
      <c r="C78" s="10" t="s">
        <v>1182</v>
      </c>
      <c r="D78" s="10" t="s">
        <v>57</v>
      </c>
      <c r="E78" s="13" t="s">
        <v>824</v>
      </c>
      <c r="F78" s="13" t="s">
        <v>1135</v>
      </c>
      <c r="G78" s="13" t="s">
        <v>1204</v>
      </c>
      <c r="H78" s="11" t="s">
        <v>65</v>
      </c>
      <c r="I78" s="10" t="s">
        <v>1187</v>
      </c>
      <c r="J78" s="10" t="s">
        <v>56</v>
      </c>
      <c r="L78" s="13" t="s">
        <v>1647</v>
      </c>
      <c r="M78" s="13" t="s">
        <v>1631</v>
      </c>
      <c r="N78" s="13" t="s">
        <v>1640</v>
      </c>
      <c r="O78" s="13" t="s">
        <v>1647</v>
      </c>
      <c r="P78" s="13" t="s">
        <v>1631</v>
      </c>
      <c r="R78" s="13" t="s">
        <v>1647</v>
      </c>
      <c r="S78" s="13" t="s">
        <v>1631</v>
      </c>
      <c r="U78" s="13" t="s">
        <v>1647</v>
      </c>
      <c r="V78" s="13" t="s">
        <v>1631</v>
      </c>
      <c r="W78" s="13" t="s">
        <v>1707</v>
      </c>
    </row>
    <row r="79" spans="1:23" ht="105" x14ac:dyDescent="0.25">
      <c r="A79" s="13" t="s">
        <v>361</v>
      </c>
      <c r="B79" s="10" t="s">
        <v>1264</v>
      </c>
      <c r="C79" s="10" t="s">
        <v>1182</v>
      </c>
      <c r="D79" s="10" t="s">
        <v>57</v>
      </c>
      <c r="E79" s="13" t="s">
        <v>824</v>
      </c>
      <c r="F79" s="13" t="s">
        <v>1136</v>
      </c>
      <c r="G79" s="13" t="s">
        <v>1206</v>
      </c>
      <c r="H79" s="11" t="s">
        <v>65</v>
      </c>
      <c r="I79" s="10" t="s">
        <v>1187</v>
      </c>
      <c r="J79" s="10" t="s">
        <v>1207</v>
      </c>
      <c r="L79" s="13" t="s">
        <v>1647</v>
      </c>
      <c r="M79" s="13" t="s">
        <v>1631</v>
      </c>
      <c r="N79" s="13" t="s">
        <v>1640</v>
      </c>
      <c r="O79" s="13" t="s">
        <v>1647</v>
      </c>
      <c r="P79" s="13" t="s">
        <v>1631</v>
      </c>
      <c r="R79" s="13" t="s">
        <v>1647</v>
      </c>
      <c r="S79" s="13" t="s">
        <v>1631</v>
      </c>
      <c r="U79" s="13" t="s">
        <v>1647</v>
      </c>
      <c r="V79" s="13" t="s">
        <v>1631</v>
      </c>
      <c r="W79" s="13" t="s">
        <v>1707</v>
      </c>
    </row>
    <row r="80" spans="1:23" ht="105" x14ac:dyDescent="0.25">
      <c r="A80" s="13" t="s">
        <v>362</v>
      </c>
      <c r="B80" s="10" t="s">
        <v>1265</v>
      </c>
      <c r="C80" s="10" t="s">
        <v>1182</v>
      </c>
      <c r="D80" s="10" t="s">
        <v>57</v>
      </c>
      <c r="E80" s="13" t="s">
        <v>824</v>
      </c>
      <c r="F80" s="13" t="s">
        <v>1137</v>
      </c>
      <c r="G80" s="13" t="s">
        <v>1209</v>
      </c>
      <c r="H80" s="11" t="s">
        <v>65</v>
      </c>
      <c r="I80" s="10" t="s">
        <v>1187</v>
      </c>
      <c r="J80" s="10" t="s">
        <v>56</v>
      </c>
      <c r="L80" s="13" t="s">
        <v>1647</v>
      </c>
      <c r="M80" s="13" t="s">
        <v>1631</v>
      </c>
      <c r="N80" s="13" t="s">
        <v>1640</v>
      </c>
      <c r="O80" s="13" t="s">
        <v>1647</v>
      </c>
      <c r="P80" s="13" t="s">
        <v>1631</v>
      </c>
      <c r="R80" s="13" t="s">
        <v>1647</v>
      </c>
      <c r="S80" s="13" t="s">
        <v>1631</v>
      </c>
      <c r="U80" s="13" t="s">
        <v>1647</v>
      </c>
      <c r="V80" s="13" t="s">
        <v>1631</v>
      </c>
      <c r="W80" s="13" t="s">
        <v>1708</v>
      </c>
    </row>
    <row r="81" spans="1:23" ht="105" x14ac:dyDescent="0.25">
      <c r="A81" s="13" t="s">
        <v>363</v>
      </c>
      <c r="B81" s="10" t="s">
        <v>1266</v>
      </c>
      <c r="C81" s="10" t="s">
        <v>1182</v>
      </c>
      <c r="D81" s="10" t="s">
        <v>57</v>
      </c>
      <c r="E81" s="13" t="s">
        <v>824</v>
      </c>
      <c r="F81" s="13" t="s">
        <v>1138</v>
      </c>
      <c r="G81" s="13" t="s">
        <v>1211</v>
      </c>
      <c r="H81" s="11" t="s">
        <v>65</v>
      </c>
      <c r="I81" s="10" t="s">
        <v>1187</v>
      </c>
      <c r="J81" s="10" t="s">
        <v>1212</v>
      </c>
      <c r="L81" s="13" t="s">
        <v>1647</v>
      </c>
      <c r="M81" s="13" t="s">
        <v>1631</v>
      </c>
      <c r="N81" s="13" t="s">
        <v>1640</v>
      </c>
      <c r="O81" s="13" t="s">
        <v>1647</v>
      </c>
      <c r="P81" s="13" t="s">
        <v>1631</v>
      </c>
      <c r="R81" s="13" t="s">
        <v>1647</v>
      </c>
      <c r="S81" s="13" t="s">
        <v>1631</v>
      </c>
      <c r="U81" s="13" t="s">
        <v>1647</v>
      </c>
      <c r="V81" s="13" t="s">
        <v>1631</v>
      </c>
      <c r="W81" s="13" t="s">
        <v>1708</v>
      </c>
    </row>
    <row r="82" spans="1:23" ht="180" x14ac:dyDescent="0.25">
      <c r="A82" s="13" t="s">
        <v>364</v>
      </c>
      <c r="B82" s="10" t="s">
        <v>1267</v>
      </c>
      <c r="C82" s="10" t="s">
        <v>1182</v>
      </c>
      <c r="D82" s="10" t="s">
        <v>57</v>
      </c>
      <c r="E82" s="13" t="s">
        <v>824</v>
      </c>
      <c r="F82" s="13" t="s">
        <v>1214</v>
      </c>
      <c r="G82" s="13" t="s">
        <v>834</v>
      </c>
      <c r="H82" s="11" t="s">
        <v>65</v>
      </c>
      <c r="I82" s="10" t="s">
        <v>1190</v>
      </c>
      <c r="J82" s="10" t="s">
        <v>56</v>
      </c>
      <c r="L82" s="13" t="s">
        <v>1647</v>
      </c>
      <c r="M82" s="13" t="s">
        <v>1631</v>
      </c>
      <c r="N82" s="13" t="s">
        <v>1640</v>
      </c>
      <c r="O82" s="13" t="s">
        <v>1647</v>
      </c>
      <c r="P82" s="13" t="s">
        <v>1631</v>
      </c>
      <c r="R82" s="13" t="s">
        <v>1647</v>
      </c>
      <c r="S82" s="13" t="s">
        <v>1631</v>
      </c>
      <c r="U82" s="13" t="s">
        <v>1653</v>
      </c>
      <c r="V82" s="20" t="s">
        <v>1735</v>
      </c>
      <c r="W82" s="13"/>
    </row>
    <row r="83" spans="1:23" ht="180" x14ac:dyDescent="0.25">
      <c r="A83" s="13" t="s">
        <v>365</v>
      </c>
      <c r="B83" s="10" t="s">
        <v>1268</v>
      </c>
      <c r="C83" s="10" t="s">
        <v>1182</v>
      </c>
      <c r="D83" s="10" t="s">
        <v>57</v>
      </c>
      <c r="E83" s="13" t="s">
        <v>824</v>
      </c>
      <c r="F83" s="13" t="s">
        <v>1216</v>
      </c>
      <c r="G83" s="13" t="s">
        <v>835</v>
      </c>
      <c r="H83" s="11" t="s">
        <v>65</v>
      </c>
      <c r="I83" s="10" t="s">
        <v>56</v>
      </c>
      <c r="J83" s="10" t="s">
        <v>1217</v>
      </c>
      <c r="L83" s="13" t="s">
        <v>1647</v>
      </c>
      <c r="M83" s="13" t="s">
        <v>1631</v>
      </c>
      <c r="N83" s="13" t="s">
        <v>1640</v>
      </c>
      <c r="O83" s="13" t="s">
        <v>1647</v>
      </c>
      <c r="P83" s="13" t="s">
        <v>1631</v>
      </c>
      <c r="R83" s="13" t="s">
        <v>1647</v>
      </c>
      <c r="S83" s="13" t="s">
        <v>1631</v>
      </c>
      <c r="U83" s="13" t="s">
        <v>1653</v>
      </c>
      <c r="V83" s="20" t="s">
        <v>1737</v>
      </c>
      <c r="W83" s="13"/>
    </row>
    <row r="84" spans="1:23" ht="180" x14ac:dyDescent="0.25">
      <c r="A84" s="13" t="s">
        <v>366</v>
      </c>
      <c r="B84" s="10" t="s">
        <v>1269</v>
      </c>
      <c r="C84" s="10" t="s">
        <v>1182</v>
      </c>
      <c r="D84" s="10" t="s">
        <v>57</v>
      </c>
      <c r="E84" s="13" t="s">
        <v>824</v>
      </c>
      <c r="F84" s="13" t="s">
        <v>1219</v>
      </c>
      <c r="G84" s="13" t="s">
        <v>835</v>
      </c>
      <c r="H84" s="11" t="s">
        <v>65</v>
      </c>
      <c r="I84" s="10" t="s">
        <v>56</v>
      </c>
      <c r="J84" s="10" t="s">
        <v>1220</v>
      </c>
      <c r="L84" s="13" t="s">
        <v>1647</v>
      </c>
      <c r="M84" s="13" t="s">
        <v>1631</v>
      </c>
      <c r="N84" s="13" t="s">
        <v>1640</v>
      </c>
      <c r="O84" s="13" t="s">
        <v>1647</v>
      </c>
      <c r="P84" s="13" t="s">
        <v>1631</v>
      </c>
      <c r="R84" s="13" t="s">
        <v>1647</v>
      </c>
      <c r="S84" s="13" t="s">
        <v>1631</v>
      </c>
      <c r="U84" s="13" t="s">
        <v>1653</v>
      </c>
      <c r="V84" s="20" t="s">
        <v>1738</v>
      </c>
      <c r="W84" s="13"/>
    </row>
    <row r="85" spans="1:23" ht="180" x14ac:dyDescent="0.25">
      <c r="A85" s="13" t="s">
        <v>367</v>
      </c>
      <c r="B85" s="10" t="s">
        <v>1270</v>
      </c>
      <c r="C85" s="10" t="s">
        <v>1182</v>
      </c>
      <c r="D85" s="10" t="s">
        <v>57</v>
      </c>
      <c r="E85" s="13" t="s">
        <v>824</v>
      </c>
      <c r="F85" s="13" t="s">
        <v>1222</v>
      </c>
      <c r="G85" s="13" t="s">
        <v>835</v>
      </c>
      <c r="H85" s="11" t="s">
        <v>65</v>
      </c>
      <c r="I85" s="10" t="s">
        <v>56</v>
      </c>
      <c r="J85" s="10" t="s">
        <v>1223</v>
      </c>
      <c r="L85" s="13" t="s">
        <v>1647</v>
      </c>
      <c r="M85" s="13" t="s">
        <v>1631</v>
      </c>
      <c r="N85" s="13" t="s">
        <v>1640</v>
      </c>
      <c r="O85" s="13" t="s">
        <v>1647</v>
      </c>
      <c r="P85" s="13" t="s">
        <v>1631</v>
      </c>
      <c r="R85" s="13" t="s">
        <v>1647</v>
      </c>
      <c r="S85" s="13" t="s">
        <v>1631</v>
      </c>
      <c r="U85" s="13" t="s">
        <v>1653</v>
      </c>
      <c r="V85" s="20" t="s">
        <v>1736</v>
      </c>
      <c r="W85" s="13"/>
    </row>
    <row r="86" spans="1:23" ht="180" x14ac:dyDescent="0.25">
      <c r="A86" s="13" t="s">
        <v>368</v>
      </c>
      <c r="B86" s="10" t="s">
        <v>1271</v>
      </c>
      <c r="C86" s="10" t="s">
        <v>1182</v>
      </c>
      <c r="D86" s="10" t="s">
        <v>57</v>
      </c>
      <c r="E86" s="13" t="s">
        <v>824</v>
      </c>
      <c r="F86" s="13" t="s">
        <v>1225</v>
      </c>
      <c r="G86" s="13" t="s">
        <v>835</v>
      </c>
      <c r="H86" s="11" t="s">
        <v>65</v>
      </c>
      <c r="I86" s="10" t="s">
        <v>56</v>
      </c>
      <c r="J86" s="10" t="s">
        <v>1226</v>
      </c>
      <c r="L86" s="13" t="s">
        <v>1647</v>
      </c>
      <c r="M86" s="13" t="s">
        <v>1631</v>
      </c>
      <c r="N86" s="13" t="s">
        <v>1640</v>
      </c>
      <c r="O86" s="13" t="s">
        <v>1647</v>
      </c>
      <c r="P86" s="13" t="s">
        <v>1631</v>
      </c>
      <c r="R86" s="13" t="s">
        <v>1647</v>
      </c>
      <c r="S86" s="13" t="s">
        <v>1631</v>
      </c>
      <c r="U86" s="13" t="s">
        <v>1653</v>
      </c>
      <c r="V86" s="20" t="s">
        <v>1739</v>
      </c>
      <c r="W86" s="13"/>
    </row>
    <row r="87" spans="1:23" ht="180" x14ac:dyDescent="0.25">
      <c r="A87" s="13" t="s">
        <v>369</v>
      </c>
      <c r="B87" s="10" t="s">
        <v>1272</v>
      </c>
      <c r="C87" s="10" t="s">
        <v>1182</v>
      </c>
      <c r="D87" s="10" t="s">
        <v>57</v>
      </c>
      <c r="E87" s="13" t="s">
        <v>824</v>
      </c>
      <c r="F87" s="13" t="s">
        <v>1228</v>
      </c>
      <c r="G87" s="13" t="s">
        <v>835</v>
      </c>
      <c r="H87" s="11" t="s">
        <v>65</v>
      </c>
      <c r="I87" s="10" t="s">
        <v>56</v>
      </c>
      <c r="J87" s="10" t="s">
        <v>1229</v>
      </c>
      <c r="L87" s="13" t="s">
        <v>1647</v>
      </c>
      <c r="M87" s="13" t="s">
        <v>1631</v>
      </c>
      <c r="N87" s="13" t="s">
        <v>1640</v>
      </c>
      <c r="O87" s="13" t="s">
        <v>1647</v>
      </c>
      <c r="P87" s="13" t="s">
        <v>1631</v>
      </c>
      <c r="R87" s="13" t="s">
        <v>1647</v>
      </c>
      <c r="S87" s="13" t="s">
        <v>1631</v>
      </c>
      <c r="U87" s="13" t="s">
        <v>1653</v>
      </c>
      <c r="V87" s="20" t="s">
        <v>1740</v>
      </c>
      <c r="W87" s="13"/>
    </row>
    <row r="88" spans="1:23" ht="180" x14ac:dyDescent="0.25">
      <c r="A88" s="13" t="s">
        <v>370</v>
      </c>
      <c r="B88" s="10" t="s">
        <v>1273</v>
      </c>
      <c r="C88" s="10" t="s">
        <v>1182</v>
      </c>
      <c r="D88" s="10" t="s">
        <v>57</v>
      </c>
      <c r="E88" s="13" t="s">
        <v>824</v>
      </c>
      <c r="F88" s="13" t="s">
        <v>1231</v>
      </c>
      <c r="G88" s="13" t="s">
        <v>835</v>
      </c>
      <c r="H88" s="11" t="s">
        <v>65</v>
      </c>
      <c r="I88" s="10" t="s">
        <v>56</v>
      </c>
      <c r="J88" s="10" t="s">
        <v>1232</v>
      </c>
      <c r="L88" s="13" t="s">
        <v>1647</v>
      </c>
      <c r="M88" s="13" t="s">
        <v>1631</v>
      </c>
      <c r="N88" s="13" t="s">
        <v>1640</v>
      </c>
      <c r="O88" s="13" t="s">
        <v>1647</v>
      </c>
      <c r="P88" s="13" t="s">
        <v>1631</v>
      </c>
      <c r="R88" s="13" t="s">
        <v>1647</v>
      </c>
      <c r="S88" s="13" t="s">
        <v>1631</v>
      </c>
      <c r="U88" s="13" t="s">
        <v>1653</v>
      </c>
      <c r="V88" s="20" t="s">
        <v>1741</v>
      </c>
      <c r="W88" s="13"/>
    </row>
    <row r="89" spans="1:23" ht="150" x14ac:dyDescent="0.25">
      <c r="A89" s="13" t="s">
        <v>371</v>
      </c>
      <c r="B89" s="10" t="s">
        <v>1274</v>
      </c>
      <c r="C89" s="10" t="s">
        <v>1182</v>
      </c>
      <c r="D89" s="10" t="s">
        <v>57</v>
      </c>
      <c r="E89" s="13" t="s">
        <v>824</v>
      </c>
      <c r="F89" s="13" t="s">
        <v>1234</v>
      </c>
      <c r="G89" s="13" t="s">
        <v>835</v>
      </c>
      <c r="H89" s="11" t="s">
        <v>65</v>
      </c>
      <c r="I89" s="10" t="s">
        <v>1190</v>
      </c>
      <c r="J89" s="10" t="s">
        <v>56</v>
      </c>
      <c r="L89" s="13" t="s">
        <v>1647</v>
      </c>
      <c r="M89" s="13" t="s">
        <v>1631</v>
      </c>
      <c r="N89" s="13" t="s">
        <v>1640</v>
      </c>
      <c r="O89" s="13" t="s">
        <v>1647</v>
      </c>
      <c r="P89" s="13" t="s">
        <v>1631</v>
      </c>
      <c r="R89" s="13" t="s">
        <v>1647</v>
      </c>
      <c r="S89" s="13" t="s">
        <v>1631</v>
      </c>
      <c r="U89" s="13" t="s">
        <v>1647</v>
      </c>
      <c r="V89" s="13" t="s">
        <v>1631</v>
      </c>
      <c r="W89" s="13"/>
    </row>
    <row r="90" spans="1:23" ht="150" x14ac:dyDescent="0.25">
      <c r="A90" s="13" t="s">
        <v>372</v>
      </c>
      <c r="B90" s="10" t="s">
        <v>1275</v>
      </c>
      <c r="C90" s="10" t="s">
        <v>1182</v>
      </c>
      <c r="D90" s="10" t="s">
        <v>57</v>
      </c>
      <c r="E90" s="13" t="s">
        <v>824</v>
      </c>
      <c r="F90" s="13" t="s">
        <v>1236</v>
      </c>
      <c r="G90" s="13" t="s">
        <v>835</v>
      </c>
      <c r="H90" s="11" t="s">
        <v>65</v>
      </c>
      <c r="I90" s="10" t="s">
        <v>1190</v>
      </c>
      <c r="J90" s="10" t="s">
        <v>56</v>
      </c>
      <c r="L90" s="13" t="s">
        <v>1647</v>
      </c>
      <c r="M90" s="13" t="s">
        <v>1631</v>
      </c>
      <c r="N90" s="13" t="s">
        <v>1640</v>
      </c>
      <c r="O90" s="13" t="s">
        <v>1647</v>
      </c>
      <c r="P90" s="13" t="s">
        <v>1631</v>
      </c>
      <c r="R90" s="13" t="s">
        <v>1647</v>
      </c>
      <c r="S90" s="13" t="s">
        <v>1631</v>
      </c>
      <c r="U90" s="13" t="s">
        <v>1647</v>
      </c>
      <c r="V90" s="13" t="s">
        <v>1631</v>
      </c>
      <c r="W90" s="13"/>
    </row>
    <row r="91" spans="1:23" ht="150" x14ac:dyDescent="0.25">
      <c r="A91" s="13" t="s">
        <v>373</v>
      </c>
      <c r="B91" s="10" t="s">
        <v>1276</v>
      </c>
      <c r="C91" s="10" t="s">
        <v>1182</v>
      </c>
      <c r="D91" s="10" t="s">
        <v>57</v>
      </c>
      <c r="E91" s="13" t="s">
        <v>824</v>
      </c>
      <c r="F91" s="13" t="s">
        <v>1238</v>
      </c>
      <c r="G91" s="13" t="s">
        <v>835</v>
      </c>
      <c r="H91" s="11" t="s">
        <v>65</v>
      </c>
      <c r="I91" s="10" t="s">
        <v>1190</v>
      </c>
      <c r="J91" s="10" t="s">
        <v>56</v>
      </c>
      <c r="L91" s="13" t="s">
        <v>1647</v>
      </c>
      <c r="M91" s="13" t="s">
        <v>1631</v>
      </c>
      <c r="N91" s="13" t="s">
        <v>1640</v>
      </c>
      <c r="O91" s="13" t="s">
        <v>1647</v>
      </c>
      <c r="P91" s="13" t="s">
        <v>1631</v>
      </c>
      <c r="R91" s="13" t="s">
        <v>1647</v>
      </c>
      <c r="S91" s="13" t="s">
        <v>1631</v>
      </c>
      <c r="U91" s="13" t="s">
        <v>1647</v>
      </c>
      <c r="V91" s="13" t="s">
        <v>1631</v>
      </c>
      <c r="W91" s="13"/>
    </row>
    <row r="92" spans="1:23" ht="90" x14ac:dyDescent="0.25">
      <c r="A92" s="13" t="s">
        <v>374</v>
      </c>
      <c r="B92" s="10" t="s">
        <v>941</v>
      </c>
      <c r="C92" s="10" t="s">
        <v>1182</v>
      </c>
      <c r="D92" s="10" t="s">
        <v>57</v>
      </c>
      <c r="E92" s="13" t="s">
        <v>824</v>
      </c>
      <c r="F92" s="13" t="s">
        <v>847</v>
      </c>
      <c r="G92" s="13" t="s">
        <v>898</v>
      </c>
      <c r="H92" s="11" t="s">
        <v>65</v>
      </c>
      <c r="I92" s="10" t="s">
        <v>1187</v>
      </c>
      <c r="J92" s="10" t="s">
        <v>1619</v>
      </c>
      <c r="L92" s="13" t="s">
        <v>1647</v>
      </c>
      <c r="M92" s="13" t="s">
        <v>1631</v>
      </c>
      <c r="N92" s="13" t="s">
        <v>1640</v>
      </c>
      <c r="O92" s="13" t="s">
        <v>1647</v>
      </c>
      <c r="P92" s="13" t="s">
        <v>1631</v>
      </c>
      <c r="R92" s="13" t="s">
        <v>1647</v>
      </c>
      <c r="S92" s="13" t="s">
        <v>1631</v>
      </c>
      <c r="U92" s="13" t="s">
        <v>1653</v>
      </c>
      <c r="V92" s="20" t="s">
        <v>1742</v>
      </c>
      <c r="W92" s="13"/>
    </row>
    <row r="93" spans="1:23" ht="195" x14ac:dyDescent="0.25">
      <c r="A93" s="13" t="s">
        <v>375</v>
      </c>
      <c r="B93" s="10" t="s">
        <v>942</v>
      </c>
      <c r="C93" s="10" t="s">
        <v>1182</v>
      </c>
      <c r="D93" s="10" t="s">
        <v>57</v>
      </c>
      <c r="E93" s="13" t="s">
        <v>824</v>
      </c>
      <c r="F93" s="13" t="s">
        <v>848</v>
      </c>
      <c r="G93" s="13" t="s">
        <v>899</v>
      </c>
      <c r="H93" s="11" t="s">
        <v>65</v>
      </c>
      <c r="I93" s="10" t="s">
        <v>1190</v>
      </c>
      <c r="J93" s="10" t="s">
        <v>1621</v>
      </c>
      <c r="L93" s="13" t="s">
        <v>1647</v>
      </c>
      <c r="M93" s="13" t="s">
        <v>1631</v>
      </c>
      <c r="N93" s="13" t="s">
        <v>1640</v>
      </c>
      <c r="O93" s="13" t="s">
        <v>1647</v>
      </c>
      <c r="P93" s="13" t="s">
        <v>1631</v>
      </c>
      <c r="R93" s="13" t="s">
        <v>1647</v>
      </c>
      <c r="S93" s="13" t="s">
        <v>1631</v>
      </c>
      <c r="U93" s="13" t="s">
        <v>1653</v>
      </c>
      <c r="V93" s="20" t="s">
        <v>1743</v>
      </c>
      <c r="W93" s="13"/>
    </row>
    <row r="94" spans="1:23" ht="75" x14ac:dyDescent="0.25">
      <c r="A94" s="13" t="s">
        <v>376</v>
      </c>
      <c r="B94" s="10" t="s">
        <v>883</v>
      </c>
      <c r="C94" s="10" t="s">
        <v>1182</v>
      </c>
      <c r="D94" s="10" t="s">
        <v>57</v>
      </c>
      <c r="E94" s="13" t="s">
        <v>824</v>
      </c>
      <c r="F94" s="13" t="s">
        <v>847</v>
      </c>
      <c r="G94" s="13" t="s">
        <v>866</v>
      </c>
      <c r="H94" s="11" t="s">
        <v>65</v>
      </c>
      <c r="I94" s="10" t="s">
        <v>1190</v>
      </c>
      <c r="J94" s="10" t="s">
        <v>56</v>
      </c>
      <c r="L94" s="13" t="s">
        <v>1647</v>
      </c>
      <c r="M94" s="13" t="s">
        <v>1631</v>
      </c>
      <c r="N94" s="13" t="s">
        <v>1640</v>
      </c>
      <c r="O94" s="13" t="s">
        <v>1647</v>
      </c>
      <c r="P94" s="13" t="s">
        <v>1631</v>
      </c>
      <c r="R94" s="13" t="s">
        <v>1647</v>
      </c>
      <c r="S94" s="13" t="s">
        <v>1631</v>
      </c>
      <c r="U94" s="13" t="s">
        <v>1653</v>
      </c>
      <c r="V94" s="20" t="s">
        <v>1744</v>
      </c>
      <c r="W94" s="13"/>
    </row>
    <row r="95" spans="1:23" ht="105" x14ac:dyDescent="0.25">
      <c r="A95" s="13" t="s">
        <v>377</v>
      </c>
      <c r="B95" s="10" t="s">
        <v>884</v>
      </c>
      <c r="C95" s="10" t="s">
        <v>1182</v>
      </c>
      <c r="D95" s="10" t="s">
        <v>57</v>
      </c>
      <c r="E95" s="13" t="s">
        <v>824</v>
      </c>
      <c r="F95" s="13" t="s">
        <v>848</v>
      </c>
      <c r="G95" s="13" t="s">
        <v>868</v>
      </c>
      <c r="H95" s="11" t="s">
        <v>65</v>
      </c>
      <c r="I95" s="10" t="s">
        <v>1190</v>
      </c>
      <c r="J95" s="10" t="s">
        <v>885</v>
      </c>
      <c r="L95" s="13" t="s">
        <v>1647</v>
      </c>
      <c r="M95" s="13" t="s">
        <v>1631</v>
      </c>
      <c r="N95" s="13" t="s">
        <v>1640</v>
      </c>
      <c r="O95" s="13" t="s">
        <v>1647</v>
      </c>
      <c r="P95" s="13" t="s">
        <v>1631</v>
      </c>
      <c r="R95" s="13" t="s">
        <v>1647</v>
      </c>
      <c r="S95" s="13" t="s">
        <v>1631</v>
      </c>
      <c r="U95" s="13" t="s">
        <v>1653</v>
      </c>
      <c r="V95" s="20" t="s">
        <v>1745</v>
      </c>
      <c r="W95" s="13"/>
    </row>
    <row r="96" spans="1:23" ht="409.5" x14ac:dyDescent="0.25">
      <c r="A96" s="13" t="s">
        <v>378</v>
      </c>
      <c r="B96" s="10" t="s">
        <v>943</v>
      </c>
      <c r="C96" s="10" t="s">
        <v>1182</v>
      </c>
      <c r="D96" s="10" t="s">
        <v>57</v>
      </c>
      <c r="E96" s="13" t="s">
        <v>858</v>
      </c>
      <c r="F96" s="13" t="s">
        <v>870</v>
      </c>
      <c r="G96" s="13" t="s">
        <v>902</v>
      </c>
      <c r="H96" s="11" t="s">
        <v>65</v>
      </c>
      <c r="I96" s="10" t="s">
        <v>1188</v>
      </c>
      <c r="J96" s="10" t="s">
        <v>871</v>
      </c>
      <c r="L96" s="13" t="s">
        <v>1647</v>
      </c>
      <c r="M96" s="13" t="s">
        <v>1631</v>
      </c>
      <c r="N96" s="13" t="s">
        <v>1640</v>
      </c>
      <c r="O96" s="13" t="s">
        <v>1647</v>
      </c>
      <c r="P96" s="13" t="s">
        <v>1631</v>
      </c>
      <c r="R96" s="13" t="s">
        <v>1647</v>
      </c>
      <c r="S96" s="13" t="s">
        <v>1631</v>
      </c>
      <c r="U96" s="13" t="s">
        <v>1647</v>
      </c>
      <c r="V96" s="13" t="s">
        <v>1631</v>
      </c>
      <c r="W96" s="13" t="s">
        <v>1746</v>
      </c>
    </row>
    <row r="97" spans="1:23" ht="210" x14ac:dyDescent="0.25">
      <c r="A97" s="13" t="s">
        <v>379</v>
      </c>
      <c r="B97" s="10" t="s">
        <v>944</v>
      </c>
      <c r="C97" s="10" t="s">
        <v>1182</v>
      </c>
      <c r="D97" s="10" t="s">
        <v>57</v>
      </c>
      <c r="E97" s="13" t="s">
        <v>824</v>
      </c>
      <c r="F97" s="13" t="s">
        <v>872</v>
      </c>
      <c r="G97" s="13" t="s">
        <v>922</v>
      </c>
      <c r="H97" s="11" t="s">
        <v>65</v>
      </c>
      <c r="I97" s="10" t="s">
        <v>56</v>
      </c>
      <c r="J97" s="10" t="s">
        <v>1183</v>
      </c>
      <c r="L97" s="13" t="s">
        <v>1647</v>
      </c>
      <c r="M97" s="13" t="s">
        <v>1631</v>
      </c>
      <c r="N97" s="13" t="s">
        <v>1640</v>
      </c>
      <c r="O97" s="13" t="s">
        <v>1647</v>
      </c>
      <c r="P97" s="13" t="s">
        <v>1631</v>
      </c>
      <c r="R97" s="13" t="s">
        <v>1647</v>
      </c>
      <c r="S97" s="13" t="s">
        <v>1631</v>
      </c>
      <c r="U97" s="13" t="s">
        <v>1647</v>
      </c>
      <c r="V97" s="13" t="s">
        <v>1631</v>
      </c>
      <c r="W97" s="13" t="s">
        <v>1746</v>
      </c>
    </row>
    <row r="98" spans="1:23" ht="180" x14ac:dyDescent="0.25">
      <c r="A98" s="13" t="s">
        <v>380</v>
      </c>
      <c r="B98" s="10" t="s">
        <v>945</v>
      </c>
      <c r="C98" s="10" t="s">
        <v>1182</v>
      </c>
      <c r="D98" s="10" t="s">
        <v>57</v>
      </c>
      <c r="E98" s="13" t="s">
        <v>824</v>
      </c>
      <c r="F98" s="13" t="s">
        <v>870</v>
      </c>
      <c r="G98" s="13" t="s">
        <v>922</v>
      </c>
      <c r="H98" s="11" t="s">
        <v>65</v>
      </c>
      <c r="I98" s="10" t="s">
        <v>56</v>
      </c>
      <c r="J98" s="10" t="s">
        <v>1184</v>
      </c>
      <c r="L98" s="13" t="s">
        <v>1647</v>
      </c>
      <c r="M98" s="13" t="s">
        <v>1631</v>
      </c>
      <c r="N98" s="13" t="s">
        <v>1640</v>
      </c>
      <c r="O98" s="13" t="s">
        <v>1647</v>
      </c>
      <c r="P98" s="13" t="s">
        <v>1631</v>
      </c>
      <c r="R98" s="13" t="s">
        <v>1647</v>
      </c>
      <c r="S98" s="13" t="s">
        <v>1631</v>
      </c>
      <c r="U98" s="13" t="s">
        <v>1647</v>
      </c>
      <c r="V98" s="13" t="s">
        <v>1631</v>
      </c>
      <c r="W98" s="13" t="s">
        <v>1746</v>
      </c>
    </row>
    <row r="99" spans="1:23" ht="165" x14ac:dyDescent="0.25">
      <c r="A99" s="13" t="s">
        <v>381</v>
      </c>
      <c r="B99" s="10" t="s">
        <v>946</v>
      </c>
      <c r="C99" s="10" t="s">
        <v>1182</v>
      </c>
      <c r="D99" s="10" t="s">
        <v>57</v>
      </c>
      <c r="E99" s="13" t="s">
        <v>824</v>
      </c>
      <c r="F99" s="13" t="s">
        <v>879</v>
      </c>
      <c r="G99" s="13" t="s">
        <v>922</v>
      </c>
      <c r="H99" s="11" t="s">
        <v>65</v>
      </c>
      <c r="I99" s="10" t="s">
        <v>1187</v>
      </c>
      <c r="J99" s="10" t="s">
        <v>56</v>
      </c>
      <c r="L99" s="13" t="s">
        <v>1647</v>
      </c>
      <c r="M99" s="13" t="s">
        <v>1631</v>
      </c>
      <c r="N99" s="13" t="s">
        <v>1640</v>
      </c>
      <c r="O99" s="13" t="s">
        <v>1647</v>
      </c>
      <c r="P99" s="13" t="s">
        <v>1631</v>
      </c>
      <c r="R99" s="13" t="s">
        <v>1647</v>
      </c>
      <c r="S99" s="13" t="s">
        <v>1631</v>
      </c>
      <c r="U99" s="13" t="s">
        <v>1647</v>
      </c>
      <c r="V99" s="13" t="s">
        <v>1631</v>
      </c>
      <c r="W99" s="13" t="s">
        <v>1746</v>
      </c>
    </row>
    <row r="100" spans="1:23" ht="165" x14ac:dyDescent="0.25">
      <c r="A100" s="13" t="s">
        <v>382</v>
      </c>
      <c r="B100" s="10" t="s">
        <v>947</v>
      </c>
      <c r="C100" s="10" t="s">
        <v>1182</v>
      </c>
      <c r="D100" s="10" t="s">
        <v>57</v>
      </c>
      <c r="E100" s="13" t="s">
        <v>824</v>
      </c>
      <c r="F100" s="13" t="s">
        <v>880</v>
      </c>
      <c r="G100" s="13" t="s">
        <v>922</v>
      </c>
      <c r="H100" s="11" t="s">
        <v>65</v>
      </c>
      <c r="I100" s="10" t="s">
        <v>1187</v>
      </c>
      <c r="J100" s="10" t="s">
        <v>56</v>
      </c>
      <c r="L100" s="13" t="s">
        <v>1647</v>
      </c>
      <c r="M100" s="13" t="s">
        <v>1631</v>
      </c>
      <c r="N100" s="13" t="s">
        <v>1640</v>
      </c>
      <c r="O100" s="13" t="s">
        <v>1647</v>
      </c>
      <c r="P100" s="13" t="s">
        <v>1631</v>
      </c>
      <c r="R100" s="13" t="s">
        <v>1647</v>
      </c>
      <c r="S100" s="13" t="s">
        <v>1631</v>
      </c>
      <c r="U100" s="13" t="s">
        <v>1647</v>
      </c>
      <c r="V100" s="13" t="s">
        <v>1631</v>
      </c>
      <c r="W100" s="13" t="s">
        <v>1746</v>
      </c>
    </row>
    <row r="101" spans="1:23" ht="135" x14ac:dyDescent="0.25">
      <c r="A101" s="13" t="s">
        <v>383</v>
      </c>
      <c r="B101" s="10" t="s">
        <v>948</v>
      </c>
      <c r="C101" s="10" t="s">
        <v>1182</v>
      </c>
      <c r="D101" s="10" t="s">
        <v>57</v>
      </c>
      <c r="E101" s="13" t="s">
        <v>824</v>
      </c>
      <c r="F101" s="13" t="s">
        <v>881</v>
      </c>
      <c r="G101" s="13" t="s">
        <v>922</v>
      </c>
      <c r="H101" s="11" t="s">
        <v>65</v>
      </c>
      <c r="I101" s="10" t="s">
        <v>1187</v>
      </c>
      <c r="J101" s="10" t="s">
        <v>56</v>
      </c>
      <c r="L101" s="13" t="s">
        <v>1647</v>
      </c>
      <c r="M101" s="13" t="s">
        <v>1631</v>
      </c>
      <c r="N101" s="13" t="s">
        <v>1640</v>
      </c>
      <c r="O101" s="13" t="s">
        <v>1647</v>
      </c>
      <c r="P101" s="13" t="s">
        <v>1631</v>
      </c>
      <c r="R101" s="13" t="s">
        <v>1647</v>
      </c>
      <c r="S101" s="13" t="s">
        <v>1631</v>
      </c>
      <c r="U101" s="13" t="s">
        <v>1647</v>
      </c>
      <c r="V101" s="13" t="s">
        <v>1631</v>
      </c>
      <c r="W101" s="13" t="s">
        <v>1746</v>
      </c>
    </row>
    <row r="102" spans="1:23" ht="135" x14ac:dyDescent="0.25">
      <c r="A102" s="13" t="s">
        <v>384</v>
      </c>
      <c r="B102" s="10" t="s">
        <v>949</v>
      </c>
      <c r="C102" s="10" t="s">
        <v>1182</v>
      </c>
      <c r="D102" s="10" t="s">
        <v>57</v>
      </c>
      <c r="E102" s="13" t="s">
        <v>824</v>
      </c>
      <c r="F102" s="13" t="s">
        <v>882</v>
      </c>
      <c r="G102" s="13" t="s">
        <v>922</v>
      </c>
      <c r="H102" s="11" t="s">
        <v>65</v>
      </c>
      <c r="I102" s="10" t="s">
        <v>1187</v>
      </c>
      <c r="J102" s="10" t="s">
        <v>56</v>
      </c>
      <c r="L102" s="13" t="s">
        <v>1647</v>
      </c>
      <c r="M102" s="13" t="s">
        <v>1631</v>
      </c>
      <c r="N102" s="13" t="s">
        <v>1640</v>
      </c>
      <c r="O102" s="13" t="s">
        <v>1647</v>
      </c>
      <c r="P102" s="13" t="s">
        <v>1631</v>
      </c>
      <c r="R102" s="13" t="s">
        <v>1647</v>
      </c>
      <c r="S102" s="13" t="s">
        <v>1631</v>
      </c>
      <c r="U102" s="13" t="s">
        <v>1647</v>
      </c>
      <c r="V102" s="13" t="s">
        <v>1631</v>
      </c>
      <c r="W102" s="13" t="s">
        <v>1746</v>
      </c>
    </row>
    <row r="103" spans="1:23" ht="210" hidden="1" x14ac:dyDescent="0.25">
      <c r="A103" s="13" t="s">
        <v>385</v>
      </c>
      <c r="B103" s="13" t="s">
        <v>1277</v>
      </c>
      <c r="C103" s="10" t="s">
        <v>1177</v>
      </c>
      <c r="D103" s="10" t="s">
        <v>57</v>
      </c>
      <c r="E103" s="13" t="s">
        <v>1278</v>
      </c>
      <c r="F103" s="13" t="s">
        <v>915</v>
      </c>
      <c r="G103" s="13" t="s">
        <v>1197</v>
      </c>
      <c r="H103" s="11" t="s">
        <v>65</v>
      </c>
      <c r="I103" s="10" t="s">
        <v>1190</v>
      </c>
      <c r="J103" s="10" t="s">
        <v>814</v>
      </c>
      <c r="L103" s="13" t="s">
        <v>1647</v>
      </c>
      <c r="M103" s="13" t="s">
        <v>1632</v>
      </c>
      <c r="N103" s="13" t="s">
        <v>1636</v>
      </c>
      <c r="O103" s="13" t="s">
        <v>1647</v>
      </c>
      <c r="P103" s="13" t="s">
        <v>1631</v>
      </c>
      <c r="Q103" s="13" t="s">
        <v>1681</v>
      </c>
      <c r="R103" s="13" t="s">
        <v>1680</v>
      </c>
      <c r="T103" s="13" t="s">
        <v>1684</v>
      </c>
      <c r="U103" s="13" t="s">
        <v>1647</v>
      </c>
      <c r="V103" s="13" t="s">
        <v>1631</v>
      </c>
      <c r="W103" s="13"/>
    </row>
    <row r="104" spans="1:23" ht="135" hidden="1" x14ac:dyDescent="0.25">
      <c r="A104" s="13" t="s">
        <v>386</v>
      </c>
      <c r="B104" s="10" t="s">
        <v>950</v>
      </c>
      <c r="C104" s="10" t="s">
        <v>1185</v>
      </c>
      <c r="D104" s="10" t="s">
        <v>57</v>
      </c>
      <c r="E104" s="13" t="s">
        <v>839</v>
      </c>
      <c r="F104" s="13" t="s">
        <v>816</v>
      </c>
      <c r="G104" s="13" t="s">
        <v>896</v>
      </c>
      <c r="H104" s="11" t="s">
        <v>65</v>
      </c>
      <c r="I104" s="10" t="s">
        <v>1187</v>
      </c>
      <c r="J104" s="10" t="s">
        <v>56</v>
      </c>
      <c r="L104" s="13" t="s">
        <v>1647</v>
      </c>
      <c r="M104" s="13" t="s">
        <v>1637</v>
      </c>
      <c r="N104" s="13" t="s">
        <v>1638</v>
      </c>
      <c r="O104" s="13" t="s">
        <v>1647</v>
      </c>
      <c r="P104" s="13" t="s">
        <v>1631</v>
      </c>
      <c r="U104" s="13" t="s">
        <v>1647</v>
      </c>
      <c r="V104" s="13" t="s">
        <v>1631</v>
      </c>
      <c r="W104" s="13"/>
    </row>
    <row r="105" spans="1:23" ht="135" hidden="1" x14ac:dyDescent="0.25">
      <c r="A105" s="13" t="s">
        <v>387</v>
      </c>
      <c r="B105" s="10" t="s">
        <v>951</v>
      </c>
      <c r="C105" s="10" t="s">
        <v>1185</v>
      </c>
      <c r="D105" s="10" t="s">
        <v>57</v>
      </c>
      <c r="E105" s="13" t="s">
        <v>840</v>
      </c>
      <c r="F105" s="13" t="s">
        <v>820</v>
      </c>
      <c r="G105" s="13" t="s">
        <v>897</v>
      </c>
      <c r="H105" s="11" t="s">
        <v>65</v>
      </c>
      <c r="I105" s="10" t="s">
        <v>1187</v>
      </c>
      <c r="J105" s="10" t="s">
        <v>56</v>
      </c>
      <c r="L105" s="13" t="s">
        <v>1653</v>
      </c>
      <c r="M105" s="13" t="s">
        <v>1625</v>
      </c>
      <c r="O105" s="13" t="s">
        <v>1647</v>
      </c>
      <c r="P105" s="13" t="s">
        <v>1631</v>
      </c>
      <c r="U105" s="13" t="s">
        <v>1647</v>
      </c>
      <c r="V105" s="13" t="s">
        <v>1631</v>
      </c>
      <c r="W105" s="13"/>
    </row>
    <row r="106" spans="1:23" ht="105" x14ac:dyDescent="0.25">
      <c r="A106" s="13" t="s">
        <v>388</v>
      </c>
      <c r="B106" s="10" t="s">
        <v>1279</v>
      </c>
      <c r="C106" s="10" t="s">
        <v>1182</v>
      </c>
      <c r="D106" s="10" t="s">
        <v>57</v>
      </c>
      <c r="E106" s="13" t="s">
        <v>825</v>
      </c>
      <c r="F106" s="13" t="s">
        <v>1133</v>
      </c>
      <c r="G106" s="13" t="s">
        <v>1199</v>
      </c>
      <c r="H106" s="11" t="s">
        <v>65</v>
      </c>
      <c r="I106" s="10" t="s">
        <v>1187</v>
      </c>
      <c r="J106" s="10" t="s">
        <v>56</v>
      </c>
      <c r="L106" s="13" t="s">
        <v>1647</v>
      </c>
      <c r="M106" s="13" t="s">
        <v>1631</v>
      </c>
      <c r="N106" s="13" t="s">
        <v>1640</v>
      </c>
      <c r="O106" s="13" t="s">
        <v>1647</v>
      </c>
      <c r="P106" s="13" t="s">
        <v>1631</v>
      </c>
      <c r="R106" s="13" t="s">
        <v>1647</v>
      </c>
      <c r="S106" s="13" t="s">
        <v>1631</v>
      </c>
      <c r="U106" s="13" t="s">
        <v>1647</v>
      </c>
      <c r="V106" s="13" t="s">
        <v>1631</v>
      </c>
      <c r="W106" s="13" t="s">
        <v>1706</v>
      </c>
    </row>
    <row r="107" spans="1:23" ht="105" x14ac:dyDescent="0.25">
      <c r="A107" s="13" t="s">
        <v>389</v>
      </c>
      <c r="B107" s="10" t="s">
        <v>1280</v>
      </c>
      <c r="C107" s="10" t="s">
        <v>1182</v>
      </c>
      <c r="D107" s="10" t="s">
        <v>57</v>
      </c>
      <c r="E107" s="13" t="s">
        <v>825</v>
      </c>
      <c r="F107" s="13" t="s">
        <v>1134</v>
      </c>
      <c r="G107" s="13" t="s">
        <v>1201</v>
      </c>
      <c r="H107" s="11" t="s">
        <v>65</v>
      </c>
      <c r="I107" s="10" t="s">
        <v>1187</v>
      </c>
      <c r="J107" s="10" t="s">
        <v>1202</v>
      </c>
      <c r="L107" s="13" t="s">
        <v>1647</v>
      </c>
      <c r="M107" s="13" t="s">
        <v>1631</v>
      </c>
      <c r="N107" s="13" t="s">
        <v>1640</v>
      </c>
      <c r="O107" s="13" t="s">
        <v>1647</v>
      </c>
      <c r="P107" s="13" t="s">
        <v>1631</v>
      </c>
      <c r="R107" s="13" t="s">
        <v>1647</v>
      </c>
      <c r="S107" s="13" t="s">
        <v>1631</v>
      </c>
      <c r="U107" s="13" t="s">
        <v>1647</v>
      </c>
      <c r="V107" s="13" t="s">
        <v>1631</v>
      </c>
      <c r="W107" s="13" t="s">
        <v>1706</v>
      </c>
    </row>
    <row r="108" spans="1:23" ht="105" x14ac:dyDescent="0.25">
      <c r="A108" s="13" t="s">
        <v>390</v>
      </c>
      <c r="B108" s="10" t="s">
        <v>1281</v>
      </c>
      <c r="C108" s="10" t="s">
        <v>1182</v>
      </c>
      <c r="D108" s="10" t="s">
        <v>57</v>
      </c>
      <c r="E108" s="13" t="s">
        <v>825</v>
      </c>
      <c r="F108" s="13" t="s">
        <v>1135</v>
      </c>
      <c r="G108" s="13" t="s">
        <v>1204</v>
      </c>
      <c r="H108" s="11" t="s">
        <v>65</v>
      </c>
      <c r="I108" s="10" t="s">
        <v>1187</v>
      </c>
      <c r="J108" s="10" t="s">
        <v>56</v>
      </c>
      <c r="L108" s="13" t="s">
        <v>1647</v>
      </c>
      <c r="M108" s="13" t="s">
        <v>1631</v>
      </c>
      <c r="N108" s="13" t="s">
        <v>1640</v>
      </c>
      <c r="O108" s="13" t="s">
        <v>1647</v>
      </c>
      <c r="P108" s="13" t="s">
        <v>1631</v>
      </c>
      <c r="R108" s="13" t="s">
        <v>1647</v>
      </c>
      <c r="S108" s="13" t="s">
        <v>1631</v>
      </c>
      <c r="U108" s="13" t="s">
        <v>1647</v>
      </c>
      <c r="V108" s="13" t="s">
        <v>1631</v>
      </c>
      <c r="W108" s="13" t="s">
        <v>1707</v>
      </c>
    </row>
    <row r="109" spans="1:23" ht="105" x14ac:dyDescent="0.25">
      <c r="A109" s="13" t="s">
        <v>391</v>
      </c>
      <c r="B109" s="10" t="s">
        <v>1282</v>
      </c>
      <c r="C109" s="10" t="s">
        <v>1182</v>
      </c>
      <c r="D109" s="10" t="s">
        <v>57</v>
      </c>
      <c r="E109" s="13" t="s">
        <v>825</v>
      </c>
      <c r="F109" s="13" t="s">
        <v>1136</v>
      </c>
      <c r="G109" s="13" t="s">
        <v>1206</v>
      </c>
      <c r="H109" s="11" t="s">
        <v>65</v>
      </c>
      <c r="I109" s="10" t="s">
        <v>1187</v>
      </c>
      <c r="J109" s="10" t="s">
        <v>1207</v>
      </c>
      <c r="L109" s="13" t="s">
        <v>1647</v>
      </c>
      <c r="M109" s="13" t="s">
        <v>1631</v>
      </c>
      <c r="N109" s="13" t="s">
        <v>1640</v>
      </c>
      <c r="O109" s="13" t="s">
        <v>1647</v>
      </c>
      <c r="P109" s="13" t="s">
        <v>1631</v>
      </c>
      <c r="R109" s="13" t="s">
        <v>1647</v>
      </c>
      <c r="S109" s="13" t="s">
        <v>1631</v>
      </c>
      <c r="U109" s="13" t="s">
        <v>1647</v>
      </c>
      <c r="V109" s="13" t="s">
        <v>1631</v>
      </c>
      <c r="W109" s="13" t="s">
        <v>1707</v>
      </c>
    </row>
    <row r="110" spans="1:23" ht="105" x14ac:dyDescent="0.25">
      <c r="A110" s="13" t="s">
        <v>392</v>
      </c>
      <c r="B110" s="10" t="s">
        <v>1283</v>
      </c>
      <c r="C110" s="10" t="s">
        <v>1182</v>
      </c>
      <c r="D110" s="10" t="s">
        <v>57</v>
      </c>
      <c r="E110" s="13" t="s">
        <v>825</v>
      </c>
      <c r="F110" s="13" t="s">
        <v>1137</v>
      </c>
      <c r="G110" s="13" t="s">
        <v>1209</v>
      </c>
      <c r="H110" s="11" t="s">
        <v>65</v>
      </c>
      <c r="I110" s="10" t="s">
        <v>1187</v>
      </c>
      <c r="J110" s="10" t="s">
        <v>56</v>
      </c>
      <c r="L110" s="13" t="s">
        <v>1647</v>
      </c>
      <c r="M110" s="13" t="s">
        <v>1631</v>
      </c>
      <c r="N110" s="13" t="s">
        <v>1640</v>
      </c>
      <c r="O110" s="13" t="s">
        <v>1647</v>
      </c>
      <c r="P110" s="13" t="s">
        <v>1631</v>
      </c>
      <c r="R110" s="13" t="s">
        <v>1647</v>
      </c>
      <c r="S110" s="13" t="s">
        <v>1631</v>
      </c>
      <c r="U110" s="13" t="s">
        <v>1647</v>
      </c>
      <c r="V110" s="13" t="s">
        <v>1631</v>
      </c>
      <c r="W110" s="13" t="s">
        <v>1708</v>
      </c>
    </row>
    <row r="111" spans="1:23" ht="105" x14ac:dyDescent="0.25">
      <c r="A111" s="13" t="s">
        <v>393</v>
      </c>
      <c r="B111" s="10" t="s">
        <v>1284</v>
      </c>
      <c r="C111" s="10" t="s">
        <v>1182</v>
      </c>
      <c r="D111" s="10" t="s">
        <v>57</v>
      </c>
      <c r="E111" s="13" t="s">
        <v>825</v>
      </c>
      <c r="F111" s="13" t="s">
        <v>1138</v>
      </c>
      <c r="G111" s="13" t="s">
        <v>1211</v>
      </c>
      <c r="H111" s="11" t="s">
        <v>65</v>
      </c>
      <c r="I111" s="10" t="s">
        <v>1187</v>
      </c>
      <c r="J111" s="10" t="s">
        <v>1212</v>
      </c>
      <c r="L111" s="13" t="s">
        <v>1647</v>
      </c>
      <c r="M111" s="13" t="s">
        <v>1631</v>
      </c>
      <c r="N111" s="13" t="s">
        <v>1640</v>
      </c>
      <c r="O111" s="13" t="s">
        <v>1647</v>
      </c>
      <c r="P111" s="13" t="s">
        <v>1631</v>
      </c>
      <c r="R111" s="13" t="s">
        <v>1647</v>
      </c>
      <c r="S111" s="13" t="s">
        <v>1631</v>
      </c>
      <c r="U111" s="13" t="s">
        <v>1647</v>
      </c>
      <c r="V111" s="13" t="s">
        <v>1631</v>
      </c>
      <c r="W111" s="13" t="s">
        <v>1708</v>
      </c>
    </row>
    <row r="112" spans="1:23" ht="180" x14ac:dyDescent="0.25">
      <c r="A112" s="13" t="s">
        <v>394</v>
      </c>
      <c r="B112" s="10" t="s">
        <v>1285</v>
      </c>
      <c r="C112" s="10" t="s">
        <v>1182</v>
      </c>
      <c r="D112" s="10" t="s">
        <v>57</v>
      </c>
      <c r="E112" s="13" t="s">
        <v>825</v>
      </c>
      <c r="F112" s="13" t="s">
        <v>1214</v>
      </c>
      <c r="G112" s="13" t="s">
        <v>834</v>
      </c>
      <c r="H112" s="11" t="s">
        <v>65</v>
      </c>
      <c r="I112" s="10" t="s">
        <v>1190</v>
      </c>
      <c r="J112" s="10" t="s">
        <v>56</v>
      </c>
      <c r="L112" s="13" t="s">
        <v>1647</v>
      </c>
      <c r="M112" s="13" t="s">
        <v>1631</v>
      </c>
      <c r="N112" s="13" t="s">
        <v>1640</v>
      </c>
      <c r="O112" s="13" t="s">
        <v>1647</v>
      </c>
      <c r="P112" s="13" t="s">
        <v>1631</v>
      </c>
      <c r="R112" s="13" t="s">
        <v>1647</v>
      </c>
      <c r="S112" s="13" t="s">
        <v>1631</v>
      </c>
      <c r="U112" s="13" t="s">
        <v>1653</v>
      </c>
      <c r="V112" s="20" t="s">
        <v>1747</v>
      </c>
      <c r="W112" s="20" t="s">
        <v>1747</v>
      </c>
    </row>
    <row r="113" spans="1:23" ht="180" x14ac:dyDescent="0.25">
      <c r="A113" s="13" t="s">
        <v>395</v>
      </c>
      <c r="B113" s="10" t="s">
        <v>1286</v>
      </c>
      <c r="C113" s="10" t="s">
        <v>1182</v>
      </c>
      <c r="D113" s="10" t="s">
        <v>57</v>
      </c>
      <c r="E113" s="13" t="s">
        <v>825</v>
      </c>
      <c r="F113" s="13" t="s">
        <v>1216</v>
      </c>
      <c r="G113" s="13" t="s">
        <v>835</v>
      </c>
      <c r="H113" s="11" t="s">
        <v>65</v>
      </c>
      <c r="I113" s="10" t="s">
        <v>56</v>
      </c>
      <c r="J113" s="10" t="s">
        <v>1217</v>
      </c>
      <c r="L113" s="13" t="s">
        <v>1647</v>
      </c>
      <c r="M113" s="13" t="s">
        <v>1631</v>
      </c>
      <c r="N113" s="13" t="s">
        <v>1640</v>
      </c>
      <c r="O113" s="13" t="s">
        <v>1647</v>
      </c>
      <c r="P113" s="13" t="s">
        <v>1631</v>
      </c>
      <c r="R113" s="13" t="s">
        <v>1647</v>
      </c>
      <c r="S113" s="13" t="s">
        <v>1631</v>
      </c>
      <c r="U113" s="13" t="s">
        <v>1653</v>
      </c>
      <c r="V113" s="20" t="s">
        <v>1748</v>
      </c>
      <c r="W113" s="13"/>
    </row>
    <row r="114" spans="1:23" ht="180" x14ac:dyDescent="0.25">
      <c r="A114" s="13" t="s">
        <v>396</v>
      </c>
      <c r="B114" s="10" t="s">
        <v>1287</v>
      </c>
      <c r="C114" s="10" t="s">
        <v>1182</v>
      </c>
      <c r="D114" s="10" t="s">
        <v>57</v>
      </c>
      <c r="E114" s="13" t="s">
        <v>825</v>
      </c>
      <c r="F114" s="13" t="s">
        <v>1219</v>
      </c>
      <c r="G114" s="13" t="s">
        <v>835</v>
      </c>
      <c r="H114" s="11" t="s">
        <v>65</v>
      </c>
      <c r="I114" s="10" t="s">
        <v>56</v>
      </c>
      <c r="J114" s="10" t="s">
        <v>1220</v>
      </c>
      <c r="L114" s="13" t="s">
        <v>1647</v>
      </c>
      <c r="M114" s="13" t="s">
        <v>1631</v>
      </c>
      <c r="N114" s="13" t="s">
        <v>1640</v>
      </c>
      <c r="O114" s="13" t="s">
        <v>1647</v>
      </c>
      <c r="P114" s="13" t="s">
        <v>1631</v>
      </c>
      <c r="R114" s="13" t="s">
        <v>1647</v>
      </c>
      <c r="S114" s="13" t="s">
        <v>1631</v>
      </c>
      <c r="U114" s="13" t="s">
        <v>1653</v>
      </c>
      <c r="V114" s="20" t="s">
        <v>1749</v>
      </c>
      <c r="W114" s="13"/>
    </row>
    <row r="115" spans="1:23" ht="180" x14ac:dyDescent="0.25">
      <c r="A115" s="13" t="s">
        <v>397</v>
      </c>
      <c r="B115" s="10" t="s">
        <v>1288</v>
      </c>
      <c r="C115" s="10" t="s">
        <v>1182</v>
      </c>
      <c r="D115" s="10" t="s">
        <v>57</v>
      </c>
      <c r="E115" s="13" t="s">
        <v>825</v>
      </c>
      <c r="F115" s="13" t="s">
        <v>1222</v>
      </c>
      <c r="G115" s="13" t="s">
        <v>835</v>
      </c>
      <c r="H115" s="11" t="s">
        <v>65</v>
      </c>
      <c r="I115" s="10" t="s">
        <v>56</v>
      </c>
      <c r="J115" s="10" t="s">
        <v>1223</v>
      </c>
      <c r="L115" s="13" t="s">
        <v>1647</v>
      </c>
      <c r="M115" s="13" t="s">
        <v>1631</v>
      </c>
      <c r="N115" s="13" t="s">
        <v>1640</v>
      </c>
      <c r="O115" s="13" t="s">
        <v>1647</v>
      </c>
      <c r="P115" s="13" t="s">
        <v>1631</v>
      </c>
      <c r="R115" s="13" t="s">
        <v>1647</v>
      </c>
      <c r="S115" s="13" t="s">
        <v>1631</v>
      </c>
      <c r="U115" s="13" t="s">
        <v>1653</v>
      </c>
      <c r="V115" s="20" t="s">
        <v>1750</v>
      </c>
      <c r="W115" s="13"/>
    </row>
    <row r="116" spans="1:23" ht="180" x14ac:dyDescent="0.25">
      <c r="A116" s="13" t="s">
        <v>398</v>
      </c>
      <c r="B116" s="10" t="s">
        <v>1289</v>
      </c>
      <c r="C116" s="10" t="s">
        <v>1182</v>
      </c>
      <c r="D116" s="10" t="s">
        <v>57</v>
      </c>
      <c r="E116" s="13" t="s">
        <v>825</v>
      </c>
      <c r="F116" s="13" t="s">
        <v>1225</v>
      </c>
      <c r="G116" s="13" t="s">
        <v>835</v>
      </c>
      <c r="H116" s="11" t="s">
        <v>65</v>
      </c>
      <c r="I116" s="10" t="s">
        <v>56</v>
      </c>
      <c r="J116" s="10" t="s">
        <v>1226</v>
      </c>
      <c r="L116" s="13" t="s">
        <v>1647</v>
      </c>
      <c r="M116" s="13" t="s">
        <v>1631</v>
      </c>
      <c r="N116" s="13" t="s">
        <v>1640</v>
      </c>
      <c r="O116" s="13" t="s">
        <v>1647</v>
      </c>
      <c r="P116" s="13" t="s">
        <v>1631</v>
      </c>
      <c r="R116" s="13" t="s">
        <v>1647</v>
      </c>
      <c r="S116" s="13" t="s">
        <v>1631</v>
      </c>
      <c r="U116" s="13" t="s">
        <v>1653</v>
      </c>
      <c r="V116" s="20" t="s">
        <v>1750</v>
      </c>
      <c r="W116" s="13"/>
    </row>
    <row r="117" spans="1:23" ht="180" x14ac:dyDescent="0.25">
      <c r="A117" s="13" t="s">
        <v>399</v>
      </c>
      <c r="B117" s="10" t="s">
        <v>1290</v>
      </c>
      <c r="C117" s="10" t="s">
        <v>1182</v>
      </c>
      <c r="D117" s="10" t="s">
        <v>57</v>
      </c>
      <c r="E117" s="13" t="s">
        <v>825</v>
      </c>
      <c r="F117" s="13" t="s">
        <v>1228</v>
      </c>
      <c r="G117" s="13" t="s">
        <v>835</v>
      </c>
      <c r="H117" s="11" t="s">
        <v>65</v>
      </c>
      <c r="I117" s="10" t="s">
        <v>56</v>
      </c>
      <c r="J117" s="10" t="s">
        <v>1229</v>
      </c>
      <c r="L117" s="13" t="s">
        <v>1647</v>
      </c>
      <c r="M117" s="13" t="s">
        <v>1631</v>
      </c>
      <c r="N117" s="13" t="s">
        <v>1640</v>
      </c>
      <c r="O117" s="13" t="s">
        <v>1647</v>
      </c>
      <c r="P117" s="13" t="s">
        <v>1631</v>
      </c>
      <c r="R117" s="13" t="s">
        <v>1647</v>
      </c>
      <c r="S117" s="13" t="s">
        <v>1631</v>
      </c>
      <c r="U117" s="13" t="s">
        <v>1653</v>
      </c>
      <c r="V117" s="20" t="s">
        <v>1751</v>
      </c>
      <c r="W117" s="13"/>
    </row>
    <row r="118" spans="1:23" ht="180" x14ac:dyDescent="0.25">
      <c r="A118" s="13" t="s">
        <v>400</v>
      </c>
      <c r="B118" s="10" t="s">
        <v>1291</v>
      </c>
      <c r="C118" s="10" t="s">
        <v>1182</v>
      </c>
      <c r="D118" s="10" t="s">
        <v>57</v>
      </c>
      <c r="E118" s="13" t="s">
        <v>825</v>
      </c>
      <c r="F118" s="13" t="s">
        <v>1231</v>
      </c>
      <c r="G118" s="13" t="s">
        <v>835</v>
      </c>
      <c r="H118" s="11" t="s">
        <v>65</v>
      </c>
      <c r="I118" s="10" t="s">
        <v>56</v>
      </c>
      <c r="J118" s="10" t="s">
        <v>1232</v>
      </c>
      <c r="L118" s="13" t="s">
        <v>1647</v>
      </c>
      <c r="M118" s="13" t="s">
        <v>1631</v>
      </c>
      <c r="N118" s="13" t="s">
        <v>1640</v>
      </c>
      <c r="O118" s="13" t="s">
        <v>1647</v>
      </c>
      <c r="P118" s="13" t="s">
        <v>1631</v>
      </c>
      <c r="R118" s="13" t="s">
        <v>1647</v>
      </c>
      <c r="S118" s="13" t="s">
        <v>1631</v>
      </c>
      <c r="U118" s="13" t="s">
        <v>1653</v>
      </c>
      <c r="V118" s="20" t="s">
        <v>1752</v>
      </c>
      <c r="W118" s="13"/>
    </row>
    <row r="119" spans="1:23" ht="150" x14ac:dyDescent="0.25">
      <c r="A119" s="13" t="s">
        <v>401</v>
      </c>
      <c r="B119" s="10" t="s">
        <v>1292</v>
      </c>
      <c r="C119" s="10" t="s">
        <v>1182</v>
      </c>
      <c r="D119" s="10" t="s">
        <v>57</v>
      </c>
      <c r="E119" s="13" t="s">
        <v>825</v>
      </c>
      <c r="F119" s="13" t="s">
        <v>1234</v>
      </c>
      <c r="G119" s="13" t="s">
        <v>835</v>
      </c>
      <c r="H119" s="11" t="s">
        <v>65</v>
      </c>
      <c r="I119" s="10" t="s">
        <v>1190</v>
      </c>
      <c r="J119" s="10" t="s">
        <v>56</v>
      </c>
      <c r="L119" s="13" t="s">
        <v>1647</v>
      </c>
      <c r="M119" s="13" t="s">
        <v>1631</v>
      </c>
      <c r="N119" s="13" t="s">
        <v>1640</v>
      </c>
      <c r="O119" s="13" t="s">
        <v>1647</v>
      </c>
      <c r="P119" s="13" t="s">
        <v>1631</v>
      </c>
      <c r="R119" s="13" t="s">
        <v>1647</v>
      </c>
      <c r="S119" s="13" t="s">
        <v>1631</v>
      </c>
      <c r="U119" s="13" t="s">
        <v>1647</v>
      </c>
      <c r="V119" s="13" t="s">
        <v>1631</v>
      </c>
      <c r="W119" s="13"/>
    </row>
    <row r="120" spans="1:23" ht="150" x14ac:dyDescent="0.25">
      <c r="A120" s="13" t="s">
        <v>402</v>
      </c>
      <c r="B120" s="10" t="s">
        <v>1293</v>
      </c>
      <c r="C120" s="10" t="s">
        <v>1182</v>
      </c>
      <c r="D120" s="10" t="s">
        <v>57</v>
      </c>
      <c r="E120" s="13" t="s">
        <v>825</v>
      </c>
      <c r="F120" s="13" t="s">
        <v>1236</v>
      </c>
      <c r="G120" s="13" t="s">
        <v>835</v>
      </c>
      <c r="H120" s="11" t="s">
        <v>65</v>
      </c>
      <c r="I120" s="10" t="s">
        <v>1190</v>
      </c>
      <c r="J120" s="10" t="s">
        <v>56</v>
      </c>
      <c r="L120" s="13" t="s">
        <v>1647</v>
      </c>
      <c r="M120" s="13" t="s">
        <v>1631</v>
      </c>
      <c r="N120" s="13" t="s">
        <v>1640</v>
      </c>
      <c r="O120" s="13" t="s">
        <v>1647</v>
      </c>
      <c r="P120" s="13" t="s">
        <v>1631</v>
      </c>
      <c r="R120" s="13" t="s">
        <v>1647</v>
      </c>
      <c r="S120" s="13" t="s">
        <v>1631</v>
      </c>
      <c r="U120" s="13" t="s">
        <v>1647</v>
      </c>
      <c r="V120" s="13" t="s">
        <v>1631</v>
      </c>
      <c r="W120" s="13"/>
    </row>
    <row r="121" spans="1:23" ht="150" x14ac:dyDescent="0.25">
      <c r="A121" s="13" t="s">
        <v>403</v>
      </c>
      <c r="B121" s="10" t="s">
        <v>1294</v>
      </c>
      <c r="C121" s="10" t="s">
        <v>1182</v>
      </c>
      <c r="D121" s="10" t="s">
        <v>57</v>
      </c>
      <c r="E121" s="13" t="s">
        <v>825</v>
      </c>
      <c r="F121" s="13" t="s">
        <v>1238</v>
      </c>
      <c r="G121" s="13" t="s">
        <v>835</v>
      </c>
      <c r="H121" s="11" t="s">
        <v>65</v>
      </c>
      <c r="I121" s="10" t="s">
        <v>1190</v>
      </c>
      <c r="J121" s="10" t="s">
        <v>56</v>
      </c>
      <c r="L121" s="13" t="s">
        <v>1647</v>
      </c>
      <c r="M121" s="13" t="s">
        <v>1631</v>
      </c>
      <c r="N121" s="13" t="s">
        <v>1640</v>
      </c>
      <c r="O121" s="13" t="s">
        <v>1647</v>
      </c>
      <c r="P121" s="13" t="s">
        <v>1631</v>
      </c>
      <c r="R121" s="13" t="s">
        <v>1647</v>
      </c>
      <c r="S121" s="13" t="s">
        <v>1631</v>
      </c>
      <c r="U121" s="13" t="s">
        <v>1647</v>
      </c>
      <c r="V121" s="13" t="s">
        <v>1631</v>
      </c>
      <c r="W121" s="13"/>
    </row>
    <row r="122" spans="1:23" ht="90" x14ac:dyDescent="0.25">
      <c r="A122" s="13" t="s">
        <v>404</v>
      </c>
      <c r="B122" s="10" t="s">
        <v>952</v>
      </c>
      <c r="C122" s="10" t="s">
        <v>1182</v>
      </c>
      <c r="D122" s="10" t="s">
        <v>57</v>
      </c>
      <c r="E122" s="13" t="s">
        <v>825</v>
      </c>
      <c r="F122" s="13" t="s">
        <v>847</v>
      </c>
      <c r="G122" s="13" t="s">
        <v>898</v>
      </c>
      <c r="H122" s="11" t="s">
        <v>65</v>
      </c>
      <c r="I122" s="10" t="s">
        <v>1187</v>
      </c>
      <c r="J122" s="10" t="s">
        <v>1619</v>
      </c>
      <c r="L122" s="13" t="s">
        <v>1647</v>
      </c>
      <c r="M122" s="13" t="s">
        <v>1631</v>
      </c>
      <c r="N122" s="13" t="s">
        <v>1640</v>
      </c>
      <c r="O122" s="13" t="s">
        <v>1647</v>
      </c>
      <c r="P122" s="13" t="s">
        <v>1631</v>
      </c>
      <c r="R122" s="13" t="s">
        <v>1647</v>
      </c>
      <c r="S122" s="13" t="s">
        <v>1631</v>
      </c>
      <c r="U122" s="13" t="s">
        <v>1653</v>
      </c>
      <c r="V122" s="20" t="s">
        <v>1753</v>
      </c>
      <c r="W122" s="13"/>
    </row>
    <row r="123" spans="1:23" ht="195" x14ac:dyDescent="0.25">
      <c r="A123" s="13" t="s">
        <v>405</v>
      </c>
      <c r="B123" s="10" t="s">
        <v>953</v>
      </c>
      <c r="C123" s="10" t="s">
        <v>1182</v>
      </c>
      <c r="D123" s="10" t="s">
        <v>57</v>
      </c>
      <c r="E123" s="13" t="s">
        <v>825</v>
      </c>
      <c r="F123" s="13" t="s">
        <v>848</v>
      </c>
      <c r="G123" s="13" t="s">
        <v>899</v>
      </c>
      <c r="H123" s="11" t="s">
        <v>65</v>
      </c>
      <c r="I123" s="10" t="s">
        <v>1190</v>
      </c>
      <c r="J123" s="10" t="s">
        <v>1621</v>
      </c>
      <c r="L123" s="13" t="s">
        <v>1647</v>
      </c>
      <c r="M123" s="13" t="s">
        <v>1631</v>
      </c>
      <c r="N123" s="13" t="s">
        <v>1640</v>
      </c>
      <c r="O123" s="13" t="s">
        <v>1647</v>
      </c>
      <c r="P123" s="13" t="s">
        <v>1631</v>
      </c>
      <c r="R123" s="13" t="s">
        <v>1647</v>
      </c>
      <c r="S123" s="13" t="s">
        <v>1631</v>
      </c>
      <c r="U123" s="13" t="s">
        <v>1653</v>
      </c>
      <c r="V123" s="20" t="s">
        <v>1754</v>
      </c>
      <c r="W123" s="13"/>
    </row>
    <row r="124" spans="1:23" ht="75" x14ac:dyDescent="0.25">
      <c r="A124" s="13" t="s">
        <v>406</v>
      </c>
      <c r="B124" s="10" t="s">
        <v>886</v>
      </c>
      <c r="C124" s="10" t="s">
        <v>1182</v>
      </c>
      <c r="D124" s="10" t="s">
        <v>57</v>
      </c>
      <c r="E124" s="13" t="s">
        <v>825</v>
      </c>
      <c r="F124" s="13" t="s">
        <v>847</v>
      </c>
      <c r="G124" s="13" t="s">
        <v>866</v>
      </c>
      <c r="H124" s="11" t="s">
        <v>65</v>
      </c>
      <c r="I124" s="10" t="s">
        <v>1190</v>
      </c>
      <c r="J124" s="10" t="s">
        <v>56</v>
      </c>
      <c r="L124" s="13" t="s">
        <v>1647</v>
      </c>
      <c r="M124" s="13" t="s">
        <v>1631</v>
      </c>
      <c r="N124" s="13" t="s">
        <v>1640</v>
      </c>
      <c r="O124" s="13" t="s">
        <v>1647</v>
      </c>
      <c r="P124" s="13" t="s">
        <v>1631</v>
      </c>
      <c r="R124" s="13" t="s">
        <v>1647</v>
      </c>
      <c r="S124" s="13" t="s">
        <v>1631</v>
      </c>
      <c r="U124" s="13" t="s">
        <v>1653</v>
      </c>
      <c r="V124" s="20" t="s">
        <v>1755</v>
      </c>
      <c r="W124" s="13"/>
    </row>
    <row r="125" spans="1:23" ht="105" x14ac:dyDescent="0.25">
      <c r="A125" s="13" t="s">
        <v>407</v>
      </c>
      <c r="B125" s="10" t="s">
        <v>887</v>
      </c>
      <c r="C125" s="10" t="s">
        <v>1182</v>
      </c>
      <c r="D125" s="10" t="s">
        <v>57</v>
      </c>
      <c r="E125" s="13" t="s">
        <v>825</v>
      </c>
      <c r="F125" s="13" t="s">
        <v>848</v>
      </c>
      <c r="G125" s="13" t="s">
        <v>868</v>
      </c>
      <c r="H125" s="11" t="s">
        <v>65</v>
      </c>
      <c r="I125" s="10" t="s">
        <v>1190</v>
      </c>
      <c r="J125" s="10" t="s">
        <v>885</v>
      </c>
      <c r="L125" s="13" t="s">
        <v>1647</v>
      </c>
      <c r="M125" s="13" t="s">
        <v>1631</v>
      </c>
      <c r="N125" s="13" t="s">
        <v>1640</v>
      </c>
      <c r="O125" s="13" t="s">
        <v>1647</v>
      </c>
      <c r="P125" s="13" t="s">
        <v>1631</v>
      </c>
      <c r="R125" s="13" t="s">
        <v>1647</v>
      </c>
      <c r="S125" s="13" t="s">
        <v>1631</v>
      </c>
      <c r="U125" s="13" t="s">
        <v>1653</v>
      </c>
      <c r="V125" s="20" t="s">
        <v>1756</v>
      </c>
      <c r="W125" s="13"/>
    </row>
    <row r="126" spans="1:23" ht="409.5" x14ac:dyDescent="0.25">
      <c r="A126" s="13" t="s">
        <v>408</v>
      </c>
      <c r="B126" s="10" t="s">
        <v>954</v>
      </c>
      <c r="C126" s="10" t="s">
        <v>1182</v>
      </c>
      <c r="D126" s="10" t="s">
        <v>57</v>
      </c>
      <c r="E126" s="13" t="s">
        <v>859</v>
      </c>
      <c r="F126" s="13" t="s">
        <v>870</v>
      </c>
      <c r="G126" s="13" t="s">
        <v>903</v>
      </c>
      <c r="H126" s="11" t="s">
        <v>65</v>
      </c>
      <c r="I126" s="10" t="s">
        <v>1188</v>
      </c>
      <c r="J126" s="10" t="s">
        <v>871</v>
      </c>
      <c r="L126" s="13" t="s">
        <v>1647</v>
      </c>
      <c r="M126" s="13" t="s">
        <v>1631</v>
      </c>
      <c r="N126" s="13" t="s">
        <v>1640</v>
      </c>
      <c r="O126" s="13" t="s">
        <v>1647</v>
      </c>
      <c r="P126" s="13" t="s">
        <v>1631</v>
      </c>
      <c r="R126" s="13" t="s">
        <v>1647</v>
      </c>
      <c r="S126" s="13" t="s">
        <v>1631</v>
      </c>
      <c r="U126" s="13" t="s">
        <v>1647</v>
      </c>
      <c r="V126" s="13" t="s">
        <v>1631</v>
      </c>
      <c r="W126" s="13" t="s">
        <v>1757</v>
      </c>
    </row>
    <row r="127" spans="1:23" ht="210" x14ac:dyDescent="0.25">
      <c r="A127" s="13" t="s">
        <v>409</v>
      </c>
      <c r="B127" s="10" t="s">
        <v>955</v>
      </c>
      <c r="C127" s="10" t="s">
        <v>1182</v>
      </c>
      <c r="D127" s="10" t="s">
        <v>57</v>
      </c>
      <c r="E127" s="13" t="s">
        <v>825</v>
      </c>
      <c r="F127" s="13" t="s">
        <v>872</v>
      </c>
      <c r="G127" s="13" t="s">
        <v>922</v>
      </c>
      <c r="H127" s="11" t="s">
        <v>65</v>
      </c>
      <c r="I127" s="10" t="s">
        <v>56</v>
      </c>
      <c r="J127" s="10" t="s">
        <v>1183</v>
      </c>
      <c r="L127" s="13" t="s">
        <v>1647</v>
      </c>
      <c r="M127" s="13" t="s">
        <v>1631</v>
      </c>
      <c r="N127" s="13" t="s">
        <v>1640</v>
      </c>
      <c r="O127" s="13" t="s">
        <v>1647</v>
      </c>
      <c r="P127" s="13" t="s">
        <v>1631</v>
      </c>
      <c r="R127" s="13" t="s">
        <v>1647</v>
      </c>
      <c r="S127" s="13" t="s">
        <v>1631</v>
      </c>
      <c r="U127" s="13" t="s">
        <v>1647</v>
      </c>
      <c r="V127" s="13" t="s">
        <v>1631</v>
      </c>
      <c r="W127" s="13" t="s">
        <v>1757</v>
      </c>
    </row>
    <row r="128" spans="1:23" ht="180" x14ac:dyDescent="0.25">
      <c r="A128" s="13" t="s">
        <v>410</v>
      </c>
      <c r="B128" s="10" t="s">
        <v>956</v>
      </c>
      <c r="C128" s="10" t="s">
        <v>1182</v>
      </c>
      <c r="D128" s="10" t="s">
        <v>57</v>
      </c>
      <c r="E128" s="13" t="s">
        <v>825</v>
      </c>
      <c r="F128" s="13" t="s">
        <v>870</v>
      </c>
      <c r="G128" s="13" t="s">
        <v>922</v>
      </c>
      <c r="H128" s="11" t="s">
        <v>65</v>
      </c>
      <c r="I128" s="10" t="s">
        <v>56</v>
      </c>
      <c r="J128" s="10" t="s">
        <v>1184</v>
      </c>
      <c r="L128" s="13" t="s">
        <v>1647</v>
      </c>
      <c r="M128" s="13" t="s">
        <v>1631</v>
      </c>
      <c r="N128" s="13" t="s">
        <v>1640</v>
      </c>
      <c r="O128" s="13" t="s">
        <v>1647</v>
      </c>
      <c r="P128" s="13" t="s">
        <v>1631</v>
      </c>
      <c r="R128" s="13" t="s">
        <v>1647</v>
      </c>
      <c r="S128" s="13" t="s">
        <v>1631</v>
      </c>
      <c r="U128" s="13" t="s">
        <v>1647</v>
      </c>
      <c r="V128" s="13" t="s">
        <v>1631</v>
      </c>
      <c r="W128" s="13" t="s">
        <v>1757</v>
      </c>
    </row>
    <row r="129" spans="1:23" ht="165" x14ac:dyDescent="0.25">
      <c r="A129" s="13" t="s">
        <v>411</v>
      </c>
      <c r="B129" s="10" t="s">
        <v>957</v>
      </c>
      <c r="C129" s="10" t="s">
        <v>1182</v>
      </c>
      <c r="D129" s="10" t="s">
        <v>57</v>
      </c>
      <c r="E129" s="13" t="s">
        <v>825</v>
      </c>
      <c r="F129" s="13" t="s">
        <v>879</v>
      </c>
      <c r="G129" s="13" t="s">
        <v>922</v>
      </c>
      <c r="H129" s="11" t="s">
        <v>65</v>
      </c>
      <c r="I129" s="10" t="s">
        <v>1187</v>
      </c>
      <c r="J129" s="10" t="s">
        <v>56</v>
      </c>
      <c r="L129" s="13" t="s">
        <v>1647</v>
      </c>
      <c r="M129" s="13" t="s">
        <v>1631</v>
      </c>
      <c r="N129" s="13" t="s">
        <v>1640</v>
      </c>
      <c r="O129" s="13" t="s">
        <v>1647</v>
      </c>
      <c r="P129" s="13" t="s">
        <v>1631</v>
      </c>
      <c r="R129" s="13" t="s">
        <v>1647</v>
      </c>
      <c r="S129" s="13" t="s">
        <v>1631</v>
      </c>
      <c r="U129" s="13" t="s">
        <v>1647</v>
      </c>
      <c r="V129" s="13" t="s">
        <v>1631</v>
      </c>
      <c r="W129" s="13" t="s">
        <v>1757</v>
      </c>
    </row>
    <row r="130" spans="1:23" ht="165" x14ac:dyDescent="0.25">
      <c r="A130" s="13" t="s">
        <v>412</v>
      </c>
      <c r="B130" s="10" t="s">
        <v>958</v>
      </c>
      <c r="C130" s="10" t="s">
        <v>1182</v>
      </c>
      <c r="D130" s="10" t="s">
        <v>57</v>
      </c>
      <c r="E130" s="13" t="s">
        <v>825</v>
      </c>
      <c r="F130" s="13" t="s">
        <v>880</v>
      </c>
      <c r="G130" s="13" t="s">
        <v>922</v>
      </c>
      <c r="H130" s="11" t="s">
        <v>65</v>
      </c>
      <c r="I130" s="10" t="s">
        <v>1187</v>
      </c>
      <c r="J130" s="10" t="s">
        <v>56</v>
      </c>
      <c r="L130" s="13" t="s">
        <v>1647</v>
      </c>
      <c r="M130" s="13" t="s">
        <v>1631</v>
      </c>
      <c r="N130" s="13" t="s">
        <v>1640</v>
      </c>
      <c r="O130" s="13" t="s">
        <v>1647</v>
      </c>
      <c r="P130" s="13" t="s">
        <v>1631</v>
      </c>
      <c r="R130" s="13" t="s">
        <v>1647</v>
      </c>
      <c r="S130" s="13" t="s">
        <v>1631</v>
      </c>
      <c r="U130" s="13" t="s">
        <v>1647</v>
      </c>
      <c r="V130" s="13" t="s">
        <v>1631</v>
      </c>
      <c r="W130" s="13" t="s">
        <v>1757</v>
      </c>
    </row>
    <row r="131" spans="1:23" ht="135" x14ac:dyDescent="0.25">
      <c r="A131" s="13" t="s">
        <v>413</v>
      </c>
      <c r="B131" s="10" t="s">
        <v>959</v>
      </c>
      <c r="C131" s="10" t="s">
        <v>1182</v>
      </c>
      <c r="D131" s="10" t="s">
        <v>57</v>
      </c>
      <c r="E131" s="13" t="s">
        <v>825</v>
      </c>
      <c r="F131" s="13" t="s">
        <v>881</v>
      </c>
      <c r="G131" s="13" t="s">
        <v>922</v>
      </c>
      <c r="H131" s="11" t="s">
        <v>65</v>
      </c>
      <c r="I131" s="10" t="s">
        <v>1187</v>
      </c>
      <c r="J131" s="10" t="s">
        <v>56</v>
      </c>
      <c r="L131" s="13" t="s">
        <v>1647</v>
      </c>
      <c r="M131" s="13" t="s">
        <v>1631</v>
      </c>
      <c r="N131" s="13" t="s">
        <v>1640</v>
      </c>
      <c r="O131" s="13" t="s">
        <v>1647</v>
      </c>
      <c r="P131" s="13" t="s">
        <v>1631</v>
      </c>
      <c r="R131" s="13" t="s">
        <v>1647</v>
      </c>
      <c r="S131" s="13" t="s">
        <v>1631</v>
      </c>
      <c r="U131" s="13" t="s">
        <v>1647</v>
      </c>
      <c r="V131" s="13" t="s">
        <v>1631</v>
      </c>
      <c r="W131" s="13" t="s">
        <v>1757</v>
      </c>
    </row>
    <row r="132" spans="1:23" ht="135" x14ac:dyDescent="0.25">
      <c r="A132" s="13" t="s">
        <v>414</v>
      </c>
      <c r="B132" s="10" t="s">
        <v>960</v>
      </c>
      <c r="C132" s="10" t="s">
        <v>1182</v>
      </c>
      <c r="D132" s="10" t="s">
        <v>57</v>
      </c>
      <c r="E132" s="13" t="s">
        <v>825</v>
      </c>
      <c r="F132" s="13" t="s">
        <v>882</v>
      </c>
      <c r="G132" s="13" t="s">
        <v>922</v>
      </c>
      <c r="H132" s="11" t="s">
        <v>65</v>
      </c>
      <c r="I132" s="10" t="s">
        <v>1187</v>
      </c>
      <c r="J132" s="10" t="s">
        <v>56</v>
      </c>
      <c r="L132" s="13" t="s">
        <v>1647</v>
      </c>
      <c r="M132" s="13" t="s">
        <v>1631</v>
      </c>
      <c r="N132" s="13" t="s">
        <v>1640</v>
      </c>
      <c r="O132" s="13" t="s">
        <v>1647</v>
      </c>
      <c r="P132" s="13" t="s">
        <v>1631</v>
      </c>
      <c r="R132" s="13" t="s">
        <v>1647</v>
      </c>
      <c r="S132" s="13" t="s">
        <v>1631</v>
      </c>
      <c r="U132" s="13" t="s">
        <v>1647</v>
      </c>
      <c r="V132" s="13" t="s">
        <v>1631</v>
      </c>
      <c r="W132" s="13" t="s">
        <v>1757</v>
      </c>
    </row>
    <row r="133" spans="1:23" ht="210" hidden="1" x14ac:dyDescent="0.25">
      <c r="A133" s="13" t="s">
        <v>415</v>
      </c>
      <c r="B133" s="13" t="s">
        <v>1295</v>
      </c>
      <c r="C133" s="10" t="s">
        <v>1177</v>
      </c>
      <c r="D133" s="10" t="s">
        <v>57</v>
      </c>
      <c r="E133" s="13" t="s">
        <v>1296</v>
      </c>
      <c r="F133" s="13" t="s">
        <v>915</v>
      </c>
      <c r="G133" s="13" t="s">
        <v>1197</v>
      </c>
      <c r="H133" s="11" t="s">
        <v>65</v>
      </c>
      <c r="I133" s="10" t="s">
        <v>1190</v>
      </c>
      <c r="J133" s="10" t="s">
        <v>814</v>
      </c>
      <c r="L133" s="13" t="s">
        <v>1647</v>
      </c>
      <c r="M133" s="13" t="s">
        <v>1632</v>
      </c>
      <c r="N133" s="13" t="s">
        <v>1636</v>
      </c>
      <c r="O133" s="13" t="s">
        <v>1647</v>
      </c>
      <c r="P133" s="13" t="s">
        <v>1631</v>
      </c>
      <c r="Q133" s="13" t="s">
        <v>1681</v>
      </c>
      <c r="R133" s="13" t="s">
        <v>1653</v>
      </c>
      <c r="S133" s="13" t="s">
        <v>1685</v>
      </c>
      <c r="T133" s="13" t="s">
        <v>1679</v>
      </c>
      <c r="U133" s="13" t="s">
        <v>1647</v>
      </c>
      <c r="V133" s="13" t="s">
        <v>1631</v>
      </c>
      <c r="W133" s="13"/>
    </row>
    <row r="134" spans="1:23" ht="120" hidden="1" x14ac:dyDescent="0.25">
      <c r="A134" s="13" t="s">
        <v>416</v>
      </c>
      <c r="B134" s="10" t="s">
        <v>961</v>
      </c>
      <c r="C134" s="10" t="s">
        <v>1185</v>
      </c>
      <c r="D134" s="10" t="s">
        <v>57</v>
      </c>
      <c r="E134" s="13" t="s">
        <v>826</v>
      </c>
      <c r="F134" s="13" t="s">
        <v>816</v>
      </c>
      <c r="G134" s="13" t="s">
        <v>896</v>
      </c>
      <c r="H134" s="11" t="s">
        <v>65</v>
      </c>
      <c r="I134" s="10" t="s">
        <v>1187</v>
      </c>
      <c r="J134" s="10" t="s">
        <v>56</v>
      </c>
      <c r="L134" s="13" t="s">
        <v>1653</v>
      </c>
      <c r="M134" s="13" t="s">
        <v>1643</v>
      </c>
      <c r="N134" s="13" t="s">
        <v>1656</v>
      </c>
      <c r="O134" s="13" t="s">
        <v>1647</v>
      </c>
      <c r="P134" s="13" t="s">
        <v>1631</v>
      </c>
      <c r="U134" s="13" t="s">
        <v>1647</v>
      </c>
      <c r="V134" s="13" t="s">
        <v>1631</v>
      </c>
      <c r="W134" s="13"/>
    </row>
    <row r="135" spans="1:23" ht="135" hidden="1" x14ac:dyDescent="0.25">
      <c r="A135" s="13" t="s">
        <v>417</v>
      </c>
      <c r="B135" s="10" t="s">
        <v>962</v>
      </c>
      <c r="C135" s="10" t="s">
        <v>1185</v>
      </c>
      <c r="D135" s="10" t="s">
        <v>57</v>
      </c>
      <c r="E135" s="13" t="s">
        <v>827</v>
      </c>
      <c r="F135" s="13" t="s">
        <v>820</v>
      </c>
      <c r="G135" s="13" t="s">
        <v>897</v>
      </c>
      <c r="H135" s="11" t="s">
        <v>65</v>
      </c>
      <c r="I135" s="10" t="s">
        <v>1187</v>
      </c>
      <c r="J135" s="10" t="s">
        <v>56</v>
      </c>
      <c r="L135" s="13" t="s">
        <v>1653</v>
      </c>
      <c r="M135" s="13" t="s">
        <v>1641</v>
      </c>
      <c r="O135" s="13" t="s">
        <v>1647</v>
      </c>
      <c r="P135" s="13" t="s">
        <v>1631</v>
      </c>
      <c r="U135" s="13" t="s">
        <v>1647</v>
      </c>
      <c r="V135" s="13" t="s">
        <v>1631</v>
      </c>
      <c r="W135" s="13"/>
    </row>
    <row r="136" spans="1:23" ht="105" x14ac:dyDescent="0.25">
      <c r="A136" s="13" t="s">
        <v>418</v>
      </c>
      <c r="B136" s="10" t="s">
        <v>1297</v>
      </c>
      <c r="C136" s="10" t="s">
        <v>1182</v>
      </c>
      <c r="D136" s="10" t="s">
        <v>57</v>
      </c>
      <c r="E136" s="13" t="s">
        <v>828</v>
      </c>
      <c r="F136" s="13" t="s">
        <v>1133</v>
      </c>
      <c r="G136" s="13" t="s">
        <v>1199</v>
      </c>
      <c r="H136" s="11" t="s">
        <v>65</v>
      </c>
      <c r="I136" s="10" t="s">
        <v>1187</v>
      </c>
      <c r="J136" s="10" t="s">
        <v>56</v>
      </c>
      <c r="L136" s="13" t="s">
        <v>1647</v>
      </c>
      <c r="M136" s="13" t="s">
        <v>1631</v>
      </c>
      <c r="N136" s="13" t="s">
        <v>1640</v>
      </c>
      <c r="O136" s="13" t="s">
        <v>1647</v>
      </c>
      <c r="P136" s="13" t="s">
        <v>1631</v>
      </c>
      <c r="R136" s="13" t="s">
        <v>1647</v>
      </c>
      <c r="S136" s="13" t="s">
        <v>1631</v>
      </c>
      <c r="U136" s="13" t="s">
        <v>1647</v>
      </c>
      <c r="V136" s="13" t="s">
        <v>1631</v>
      </c>
      <c r="W136" s="13" t="s">
        <v>1706</v>
      </c>
    </row>
    <row r="137" spans="1:23" ht="105" x14ac:dyDescent="0.25">
      <c r="A137" s="13" t="s">
        <v>419</v>
      </c>
      <c r="B137" s="10" t="s">
        <v>1298</v>
      </c>
      <c r="C137" s="10" t="s">
        <v>1182</v>
      </c>
      <c r="D137" s="10" t="s">
        <v>57</v>
      </c>
      <c r="E137" s="13" t="s">
        <v>828</v>
      </c>
      <c r="F137" s="13" t="s">
        <v>1134</v>
      </c>
      <c r="G137" s="13" t="s">
        <v>1201</v>
      </c>
      <c r="H137" s="11" t="s">
        <v>65</v>
      </c>
      <c r="I137" s="10" t="s">
        <v>1187</v>
      </c>
      <c r="J137" s="10" t="s">
        <v>1202</v>
      </c>
      <c r="L137" s="13" t="s">
        <v>1647</v>
      </c>
      <c r="M137" s="13" t="s">
        <v>1631</v>
      </c>
      <c r="N137" s="13" t="s">
        <v>1640</v>
      </c>
      <c r="O137" s="13" t="s">
        <v>1647</v>
      </c>
      <c r="P137" s="13" t="s">
        <v>1631</v>
      </c>
      <c r="R137" s="13" t="s">
        <v>1647</v>
      </c>
      <c r="S137" s="13" t="s">
        <v>1631</v>
      </c>
      <c r="U137" s="13" t="s">
        <v>1647</v>
      </c>
      <c r="V137" s="13" t="s">
        <v>1631</v>
      </c>
      <c r="W137" s="13" t="s">
        <v>1706</v>
      </c>
    </row>
    <row r="138" spans="1:23" ht="105" x14ac:dyDescent="0.25">
      <c r="A138" s="13" t="s">
        <v>420</v>
      </c>
      <c r="B138" s="10" t="s">
        <v>1299</v>
      </c>
      <c r="C138" s="10" t="s">
        <v>1182</v>
      </c>
      <c r="D138" s="10" t="s">
        <v>57</v>
      </c>
      <c r="E138" s="13" t="s">
        <v>828</v>
      </c>
      <c r="F138" s="13" t="s">
        <v>1135</v>
      </c>
      <c r="G138" s="13" t="s">
        <v>1204</v>
      </c>
      <c r="H138" s="11" t="s">
        <v>65</v>
      </c>
      <c r="I138" s="10" t="s">
        <v>1187</v>
      </c>
      <c r="J138" s="10" t="s">
        <v>56</v>
      </c>
      <c r="L138" s="13" t="s">
        <v>1647</v>
      </c>
      <c r="M138" s="13" t="s">
        <v>1631</v>
      </c>
      <c r="N138" s="13" t="s">
        <v>1640</v>
      </c>
      <c r="O138" s="13" t="s">
        <v>1647</v>
      </c>
      <c r="P138" s="13" t="s">
        <v>1631</v>
      </c>
      <c r="R138" s="13" t="s">
        <v>1647</v>
      </c>
      <c r="S138" s="13" t="s">
        <v>1631</v>
      </c>
      <c r="U138" s="13" t="s">
        <v>1647</v>
      </c>
      <c r="V138" s="13" t="s">
        <v>1631</v>
      </c>
      <c r="W138" s="13" t="s">
        <v>1707</v>
      </c>
    </row>
    <row r="139" spans="1:23" ht="105" x14ac:dyDescent="0.25">
      <c r="A139" s="13" t="s">
        <v>421</v>
      </c>
      <c r="B139" s="10" t="s">
        <v>1300</v>
      </c>
      <c r="C139" s="10" t="s">
        <v>1182</v>
      </c>
      <c r="D139" s="10" t="s">
        <v>57</v>
      </c>
      <c r="E139" s="13" t="s">
        <v>828</v>
      </c>
      <c r="F139" s="13" t="s">
        <v>1136</v>
      </c>
      <c r="G139" s="13" t="s">
        <v>1206</v>
      </c>
      <c r="H139" s="11" t="s">
        <v>65</v>
      </c>
      <c r="I139" s="10" t="s">
        <v>1187</v>
      </c>
      <c r="J139" s="10" t="s">
        <v>1207</v>
      </c>
      <c r="L139" s="13" t="s">
        <v>1647</v>
      </c>
      <c r="M139" s="13" t="s">
        <v>1631</v>
      </c>
      <c r="N139" s="13" t="s">
        <v>1640</v>
      </c>
      <c r="O139" s="13" t="s">
        <v>1647</v>
      </c>
      <c r="P139" s="13" t="s">
        <v>1631</v>
      </c>
      <c r="R139" s="13" t="s">
        <v>1647</v>
      </c>
      <c r="S139" s="13" t="s">
        <v>1631</v>
      </c>
      <c r="U139" s="13" t="s">
        <v>1647</v>
      </c>
      <c r="V139" s="13" t="s">
        <v>1631</v>
      </c>
      <c r="W139" s="13" t="s">
        <v>1707</v>
      </c>
    </row>
    <row r="140" spans="1:23" ht="105" x14ac:dyDescent="0.25">
      <c r="A140" s="13" t="s">
        <v>422</v>
      </c>
      <c r="B140" s="10" t="s">
        <v>1301</v>
      </c>
      <c r="C140" s="10" t="s">
        <v>1182</v>
      </c>
      <c r="D140" s="10" t="s">
        <v>57</v>
      </c>
      <c r="E140" s="13" t="s">
        <v>828</v>
      </c>
      <c r="F140" s="13" t="s">
        <v>1137</v>
      </c>
      <c r="G140" s="13" t="s">
        <v>1209</v>
      </c>
      <c r="H140" s="11" t="s">
        <v>65</v>
      </c>
      <c r="I140" s="10" t="s">
        <v>1187</v>
      </c>
      <c r="J140" s="10" t="s">
        <v>56</v>
      </c>
      <c r="L140" s="13" t="s">
        <v>1647</v>
      </c>
      <c r="M140" s="13" t="s">
        <v>1631</v>
      </c>
      <c r="N140" s="13" t="s">
        <v>1640</v>
      </c>
      <c r="O140" s="13" t="s">
        <v>1647</v>
      </c>
      <c r="P140" s="13" t="s">
        <v>1631</v>
      </c>
      <c r="R140" s="13" t="s">
        <v>1647</v>
      </c>
      <c r="S140" s="13" t="s">
        <v>1631</v>
      </c>
      <c r="U140" s="13" t="s">
        <v>1647</v>
      </c>
      <c r="V140" s="13" t="s">
        <v>1631</v>
      </c>
      <c r="W140" s="13" t="s">
        <v>1708</v>
      </c>
    </row>
    <row r="141" spans="1:23" ht="105" x14ac:dyDescent="0.25">
      <c r="A141" s="13" t="s">
        <v>423</v>
      </c>
      <c r="B141" s="10" t="s">
        <v>1302</v>
      </c>
      <c r="C141" s="10" t="s">
        <v>1182</v>
      </c>
      <c r="D141" s="10" t="s">
        <v>57</v>
      </c>
      <c r="E141" s="13" t="s">
        <v>828</v>
      </c>
      <c r="F141" s="13" t="s">
        <v>1138</v>
      </c>
      <c r="G141" s="13" t="s">
        <v>1211</v>
      </c>
      <c r="H141" s="11" t="s">
        <v>65</v>
      </c>
      <c r="I141" s="10" t="s">
        <v>1187</v>
      </c>
      <c r="J141" s="10" t="s">
        <v>1212</v>
      </c>
      <c r="L141" s="13" t="s">
        <v>1647</v>
      </c>
      <c r="M141" s="13" t="s">
        <v>1631</v>
      </c>
      <c r="N141" s="13" t="s">
        <v>1640</v>
      </c>
      <c r="O141" s="13" t="s">
        <v>1647</v>
      </c>
      <c r="P141" s="13" t="s">
        <v>1631</v>
      </c>
      <c r="R141" s="13" t="s">
        <v>1647</v>
      </c>
      <c r="S141" s="13" t="s">
        <v>1631</v>
      </c>
      <c r="U141" s="13" t="s">
        <v>1647</v>
      </c>
      <c r="V141" s="13" t="s">
        <v>1631</v>
      </c>
      <c r="W141" s="13" t="s">
        <v>1708</v>
      </c>
    </row>
    <row r="142" spans="1:23" ht="180" x14ac:dyDescent="0.25">
      <c r="A142" s="13" t="s">
        <v>424</v>
      </c>
      <c r="B142" s="10" t="s">
        <v>1303</v>
      </c>
      <c r="C142" s="10" t="s">
        <v>1182</v>
      </c>
      <c r="D142" s="10" t="s">
        <v>57</v>
      </c>
      <c r="E142" s="13" t="s">
        <v>828</v>
      </c>
      <c r="F142" s="13" t="s">
        <v>1214</v>
      </c>
      <c r="G142" s="13" t="s">
        <v>834</v>
      </c>
      <c r="H142" s="11" t="s">
        <v>65</v>
      </c>
      <c r="I142" s="10" t="s">
        <v>1190</v>
      </c>
      <c r="J142" s="10" t="s">
        <v>56</v>
      </c>
      <c r="L142" s="13" t="s">
        <v>1647</v>
      </c>
      <c r="M142" s="13" t="s">
        <v>1631</v>
      </c>
      <c r="N142" s="13" t="s">
        <v>1640</v>
      </c>
      <c r="O142" s="13" t="s">
        <v>1647</v>
      </c>
      <c r="P142" s="13" t="s">
        <v>1631</v>
      </c>
      <c r="R142" s="13" t="s">
        <v>1647</v>
      </c>
      <c r="S142" s="13" t="s">
        <v>1631</v>
      </c>
      <c r="U142" s="13" t="s">
        <v>1653</v>
      </c>
      <c r="V142" s="20" t="s">
        <v>1758</v>
      </c>
      <c r="W142" s="13"/>
    </row>
    <row r="143" spans="1:23" ht="180" x14ac:dyDescent="0.25">
      <c r="A143" s="13" t="s">
        <v>425</v>
      </c>
      <c r="B143" s="10" t="s">
        <v>1304</v>
      </c>
      <c r="C143" s="10" t="s">
        <v>1182</v>
      </c>
      <c r="D143" s="10" t="s">
        <v>57</v>
      </c>
      <c r="E143" s="13" t="s">
        <v>828</v>
      </c>
      <c r="F143" s="13" t="s">
        <v>1216</v>
      </c>
      <c r="G143" s="13" t="s">
        <v>835</v>
      </c>
      <c r="H143" s="11" t="s">
        <v>65</v>
      </c>
      <c r="I143" s="10" t="s">
        <v>56</v>
      </c>
      <c r="J143" s="10" t="s">
        <v>1217</v>
      </c>
      <c r="L143" s="13" t="s">
        <v>1647</v>
      </c>
      <c r="M143" s="13" t="s">
        <v>1631</v>
      </c>
      <c r="N143" s="13" t="s">
        <v>1640</v>
      </c>
      <c r="O143" s="13" t="s">
        <v>1647</v>
      </c>
      <c r="P143" s="13" t="s">
        <v>1631</v>
      </c>
      <c r="R143" s="13" t="s">
        <v>1647</v>
      </c>
      <c r="S143" s="13" t="s">
        <v>1631</v>
      </c>
      <c r="U143" s="13" t="s">
        <v>1653</v>
      </c>
      <c r="V143" s="20" t="s">
        <v>1760</v>
      </c>
      <c r="W143" s="13"/>
    </row>
    <row r="144" spans="1:23" ht="180" x14ac:dyDescent="0.25">
      <c r="A144" s="13" t="s">
        <v>426</v>
      </c>
      <c r="B144" s="10" t="s">
        <v>1305</v>
      </c>
      <c r="C144" s="10" t="s">
        <v>1182</v>
      </c>
      <c r="D144" s="10" t="s">
        <v>57</v>
      </c>
      <c r="E144" s="13" t="s">
        <v>828</v>
      </c>
      <c r="F144" s="13" t="s">
        <v>1219</v>
      </c>
      <c r="G144" s="13" t="s">
        <v>835</v>
      </c>
      <c r="H144" s="11" t="s">
        <v>65</v>
      </c>
      <c r="I144" s="10" t="s">
        <v>56</v>
      </c>
      <c r="J144" s="10" t="s">
        <v>1220</v>
      </c>
      <c r="L144" s="13" t="s">
        <v>1647</v>
      </c>
      <c r="M144" s="13" t="s">
        <v>1631</v>
      </c>
      <c r="N144" s="13" t="s">
        <v>1640</v>
      </c>
      <c r="O144" s="13" t="s">
        <v>1647</v>
      </c>
      <c r="P144" s="13" t="s">
        <v>1631</v>
      </c>
      <c r="R144" s="13" t="s">
        <v>1647</v>
      </c>
      <c r="S144" s="13" t="s">
        <v>1631</v>
      </c>
      <c r="U144" s="13" t="s">
        <v>1653</v>
      </c>
      <c r="V144" s="20" t="s">
        <v>1761</v>
      </c>
      <c r="W144" s="13"/>
    </row>
    <row r="145" spans="1:23" ht="180" x14ac:dyDescent="0.25">
      <c r="A145" s="13" t="s">
        <v>427</v>
      </c>
      <c r="B145" s="10" t="s">
        <v>1306</v>
      </c>
      <c r="C145" s="10" t="s">
        <v>1182</v>
      </c>
      <c r="D145" s="10" t="s">
        <v>57</v>
      </c>
      <c r="E145" s="13" t="s">
        <v>828</v>
      </c>
      <c r="F145" s="13" t="s">
        <v>1222</v>
      </c>
      <c r="G145" s="13" t="s">
        <v>835</v>
      </c>
      <c r="H145" s="11" t="s">
        <v>65</v>
      </c>
      <c r="I145" s="10" t="s">
        <v>56</v>
      </c>
      <c r="J145" s="10" t="s">
        <v>1223</v>
      </c>
      <c r="L145" s="13" t="s">
        <v>1647</v>
      </c>
      <c r="M145" s="13" t="s">
        <v>1631</v>
      </c>
      <c r="N145" s="13" t="s">
        <v>1640</v>
      </c>
      <c r="O145" s="13" t="s">
        <v>1647</v>
      </c>
      <c r="P145" s="13" t="s">
        <v>1631</v>
      </c>
      <c r="R145" s="13" t="s">
        <v>1647</v>
      </c>
      <c r="S145" s="13" t="s">
        <v>1631</v>
      </c>
      <c r="U145" s="13" t="s">
        <v>1653</v>
      </c>
      <c r="V145" s="20" t="s">
        <v>1759</v>
      </c>
      <c r="W145" s="13"/>
    </row>
    <row r="146" spans="1:23" ht="180" x14ac:dyDescent="0.25">
      <c r="A146" s="13" t="s">
        <v>428</v>
      </c>
      <c r="B146" s="10" t="s">
        <v>1307</v>
      </c>
      <c r="C146" s="10" t="s">
        <v>1182</v>
      </c>
      <c r="D146" s="10" t="s">
        <v>57</v>
      </c>
      <c r="E146" s="13" t="s">
        <v>828</v>
      </c>
      <c r="F146" s="13" t="s">
        <v>1225</v>
      </c>
      <c r="G146" s="13" t="s">
        <v>835</v>
      </c>
      <c r="H146" s="11" t="s">
        <v>65</v>
      </c>
      <c r="I146" s="10" t="s">
        <v>56</v>
      </c>
      <c r="J146" s="10" t="s">
        <v>1226</v>
      </c>
      <c r="L146" s="13" t="s">
        <v>1647</v>
      </c>
      <c r="M146" s="13" t="s">
        <v>1631</v>
      </c>
      <c r="N146" s="13" t="s">
        <v>1640</v>
      </c>
      <c r="O146" s="13" t="s">
        <v>1647</v>
      </c>
      <c r="P146" s="13" t="s">
        <v>1631</v>
      </c>
      <c r="R146" s="13" t="s">
        <v>1647</v>
      </c>
      <c r="S146" s="13" t="s">
        <v>1631</v>
      </c>
      <c r="U146" s="13" t="s">
        <v>1653</v>
      </c>
      <c r="V146" s="20" t="s">
        <v>1762</v>
      </c>
      <c r="W146" s="13"/>
    </row>
    <row r="147" spans="1:23" ht="180" x14ac:dyDescent="0.25">
      <c r="A147" s="13" t="s">
        <v>429</v>
      </c>
      <c r="B147" s="10" t="s">
        <v>1308</v>
      </c>
      <c r="C147" s="10" t="s">
        <v>1182</v>
      </c>
      <c r="D147" s="10" t="s">
        <v>57</v>
      </c>
      <c r="E147" s="13" t="s">
        <v>828</v>
      </c>
      <c r="F147" s="13" t="s">
        <v>1228</v>
      </c>
      <c r="G147" s="13" t="s">
        <v>835</v>
      </c>
      <c r="H147" s="11" t="s">
        <v>65</v>
      </c>
      <c r="I147" s="10" t="s">
        <v>56</v>
      </c>
      <c r="J147" s="10" t="s">
        <v>1229</v>
      </c>
      <c r="L147" s="13" t="s">
        <v>1647</v>
      </c>
      <c r="M147" s="13" t="s">
        <v>1631</v>
      </c>
      <c r="N147" s="13" t="s">
        <v>1640</v>
      </c>
      <c r="O147" s="13" t="s">
        <v>1647</v>
      </c>
      <c r="P147" s="13" t="s">
        <v>1631</v>
      </c>
      <c r="R147" s="13" t="s">
        <v>1647</v>
      </c>
      <c r="S147" s="13" t="s">
        <v>1631</v>
      </c>
      <c r="U147" s="13" t="s">
        <v>1653</v>
      </c>
      <c r="V147" s="20" t="s">
        <v>1763</v>
      </c>
      <c r="W147" s="13"/>
    </row>
    <row r="148" spans="1:23" ht="180" x14ac:dyDescent="0.25">
      <c r="A148" s="13" t="s">
        <v>430</v>
      </c>
      <c r="B148" s="10" t="s">
        <v>1309</v>
      </c>
      <c r="C148" s="10" t="s">
        <v>1182</v>
      </c>
      <c r="D148" s="10" t="s">
        <v>57</v>
      </c>
      <c r="E148" s="13" t="s">
        <v>828</v>
      </c>
      <c r="F148" s="13" t="s">
        <v>1231</v>
      </c>
      <c r="G148" s="13" t="s">
        <v>835</v>
      </c>
      <c r="H148" s="11" t="s">
        <v>65</v>
      </c>
      <c r="I148" s="10" t="s">
        <v>56</v>
      </c>
      <c r="J148" s="10" t="s">
        <v>1232</v>
      </c>
      <c r="L148" s="13" t="s">
        <v>1647</v>
      </c>
      <c r="M148" s="13" t="s">
        <v>1631</v>
      </c>
      <c r="N148" s="13" t="s">
        <v>1640</v>
      </c>
      <c r="O148" s="13" t="s">
        <v>1647</v>
      </c>
      <c r="P148" s="13" t="s">
        <v>1631</v>
      </c>
      <c r="R148" s="13" t="s">
        <v>1647</v>
      </c>
      <c r="S148" s="13" t="s">
        <v>1631</v>
      </c>
      <c r="U148" s="13" t="s">
        <v>1653</v>
      </c>
      <c r="V148" s="20" t="s">
        <v>1764</v>
      </c>
      <c r="W148" s="13"/>
    </row>
    <row r="149" spans="1:23" ht="150" x14ac:dyDescent="0.25">
      <c r="A149" s="13" t="s">
        <v>431</v>
      </c>
      <c r="B149" s="10" t="s">
        <v>1310</v>
      </c>
      <c r="C149" s="10" t="s">
        <v>1182</v>
      </c>
      <c r="D149" s="10" t="s">
        <v>57</v>
      </c>
      <c r="E149" s="13" t="s">
        <v>828</v>
      </c>
      <c r="F149" s="13" t="s">
        <v>1234</v>
      </c>
      <c r="G149" s="13" t="s">
        <v>835</v>
      </c>
      <c r="H149" s="11" t="s">
        <v>65</v>
      </c>
      <c r="I149" s="10" t="s">
        <v>1190</v>
      </c>
      <c r="J149" s="10" t="s">
        <v>56</v>
      </c>
      <c r="L149" s="13" t="s">
        <v>1647</v>
      </c>
      <c r="M149" s="13" t="s">
        <v>1631</v>
      </c>
      <c r="N149" s="13" t="s">
        <v>1640</v>
      </c>
      <c r="O149" s="13" t="s">
        <v>1647</v>
      </c>
      <c r="P149" s="13" t="s">
        <v>1631</v>
      </c>
      <c r="R149" s="13" t="s">
        <v>1647</v>
      </c>
      <c r="S149" s="13" t="s">
        <v>1631</v>
      </c>
      <c r="U149" s="13" t="s">
        <v>1647</v>
      </c>
      <c r="V149" s="13" t="s">
        <v>1631</v>
      </c>
      <c r="W149" s="13"/>
    </row>
    <row r="150" spans="1:23" ht="150" x14ac:dyDescent="0.25">
      <c r="A150" s="13" t="s">
        <v>432</v>
      </c>
      <c r="B150" s="10" t="s">
        <v>1311</v>
      </c>
      <c r="C150" s="10" t="s">
        <v>1182</v>
      </c>
      <c r="D150" s="10" t="s">
        <v>57</v>
      </c>
      <c r="E150" s="13" t="s">
        <v>828</v>
      </c>
      <c r="F150" s="13" t="s">
        <v>1236</v>
      </c>
      <c r="G150" s="13" t="s">
        <v>835</v>
      </c>
      <c r="H150" s="11" t="s">
        <v>65</v>
      </c>
      <c r="I150" s="10" t="s">
        <v>1190</v>
      </c>
      <c r="J150" s="10" t="s">
        <v>56</v>
      </c>
      <c r="L150" s="13" t="s">
        <v>1647</v>
      </c>
      <c r="M150" s="13" t="s">
        <v>1631</v>
      </c>
      <c r="N150" s="13" t="s">
        <v>1640</v>
      </c>
      <c r="O150" s="13" t="s">
        <v>1647</v>
      </c>
      <c r="P150" s="13" t="s">
        <v>1631</v>
      </c>
      <c r="R150" s="13" t="s">
        <v>1647</v>
      </c>
      <c r="S150" s="13" t="s">
        <v>1631</v>
      </c>
      <c r="U150" s="13" t="s">
        <v>1647</v>
      </c>
      <c r="V150" s="13" t="s">
        <v>1631</v>
      </c>
      <c r="W150" s="13"/>
    </row>
    <row r="151" spans="1:23" ht="150" x14ac:dyDescent="0.25">
      <c r="A151" s="13" t="s">
        <v>433</v>
      </c>
      <c r="B151" s="10" t="s">
        <v>1312</v>
      </c>
      <c r="C151" s="10" t="s">
        <v>1182</v>
      </c>
      <c r="D151" s="10" t="s">
        <v>57</v>
      </c>
      <c r="E151" s="13" t="s">
        <v>828</v>
      </c>
      <c r="F151" s="13" t="s">
        <v>1238</v>
      </c>
      <c r="G151" s="13" t="s">
        <v>835</v>
      </c>
      <c r="H151" s="11" t="s">
        <v>65</v>
      </c>
      <c r="I151" s="10" t="s">
        <v>1190</v>
      </c>
      <c r="J151" s="10" t="s">
        <v>56</v>
      </c>
      <c r="L151" s="13" t="s">
        <v>1647</v>
      </c>
      <c r="M151" s="13" t="s">
        <v>1631</v>
      </c>
      <c r="N151" s="13" t="s">
        <v>1640</v>
      </c>
      <c r="O151" s="13" t="s">
        <v>1647</v>
      </c>
      <c r="P151" s="13" t="s">
        <v>1631</v>
      </c>
      <c r="R151" s="13" t="s">
        <v>1647</v>
      </c>
      <c r="S151" s="13" t="s">
        <v>1631</v>
      </c>
      <c r="U151" s="13" t="s">
        <v>1647</v>
      </c>
      <c r="V151" s="13" t="s">
        <v>1631</v>
      </c>
      <c r="W151" s="13"/>
    </row>
    <row r="152" spans="1:23" ht="105" x14ac:dyDescent="0.25">
      <c r="A152" s="13" t="s">
        <v>434</v>
      </c>
      <c r="B152" s="10" t="s">
        <v>1005</v>
      </c>
      <c r="C152" s="10" t="s">
        <v>1182</v>
      </c>
      <c r="D152" s="10" t="s">
        <v>57</v>
      </c>
      <c r="E152" s="13" t="s">
        <v>1006</v>
      </c>
      <c r="F152" s="13" t="s">
        <v>110</v>
      </c>
      <c r="G152" s="13" t="s">
        <v>849</v>
      </c>
      <c r="H152" s="11" t="s">
        <v>65</v>
      </c>
      <c r="I152" s="10" t="s">
        <v>1191</v>
      </c>
      <c r="J152" s="10" t="s">
        <v>56</v>
      </c>
      <c r="L152" s="13" t="s">
        <v>1647</v>
      </c>
      <c r="M152" s="13" t="s">
        <v>1631</v>
      </c>
      <c r="N152" s="13" t="s">
        <v>1640</v>
      </c>
      <c r="O152" s="13" t="s">
        <v>1647</v>
      </c>
      <c r="P152" s="13" t="s">
        <v>1631</v>
      </c>
      <c r="R152" s="13" t="s">
        <v>1647</v>
      </c>
      <c r="S152" s="13" t="s">
        <v>1631</v>
      </c>
      <c r="U152" s="13" t="s">
        <v>1647</v>
      </c>
      <c r="V152" s="13" t="s">
        <v>1631</v>
      </c>
      <c r="W152" s="13" t="s">
        <v>1765</v>
      </c>
    </row>
    <row r="153" spans="1:23" ht="105" x14ac:dyDescent="0.25">
      <c r="A153" s="13" t="s">
        <v>435</v>
      </c>
      <c r="B153" s="10" t="s">
        <v>1007</v>
      </c>
      <c r="C153" s="10" t="s">
        <v>1182</v>
      </c>
      <c r="D153" s="10" t="s">
        <v>57</v>
      </c>
      <c r="E153" s="13" t="s">
        <v>1006</v>
      </c>
      <c r="F153" s="13" t="s">
        <v>110</v>
      </c>
      <c r="G153" s="13" t="s">
        <v>850</v>
      </c>
      <c r="H153" s="11" t="s">
        <v>65</v>
      </c>
      <c r="I153" s="10" t="s">
        <v>1191</v>
      </c>
      <c r="J153" s="10" t="s">
        <v>56</v>
      </c>
      <c r="L153" s="13" t="s">
        <v>1647</v>
      </c>
      <c r="M153" s="13" t="s">
        <v>1631</v>
      </c>
      <c r="N153" s="13" t="s">
        <v>1640</v>
      </c>
      <c r="O153" s="13" t="s">
        <v>1647</v>
      </c>
      <c r="P153" s="13" t="s">
        <v>1631</v>
      </c>
      <c r="R153" s="13" t="s">
        <v>1647</v>
      </c>
      <c r="S153" s="13" t="s">
        <v>1631</v>
      </c>
      <c r="U153" s="13" t="s">
        <v>1647</v>
      </c>
      <c r="V153" s="20" t="s">
        <v>1766</v>
      </c>
      <c r="W153" s="13" t="s">
        <v>1767</v>
      </c>
    </row>
    <row r="154" spans="1:23" ht="105" x14ac:dyDescent="0.25">
      <c r="A154" s="13" t="s">
        <v>436</v>
      </c>
      <c r="B154" s="10" t="s">
        <v>1008</v>
      </c>
      <c r="C154" s="10" t="s">
        <v>1182</v>
      </c>
      <c r="D154" s="10" t="s">
        <v>57</v>
      </c>
      <c r="E154" s="13" t="s">
        <v>1009</v>
      </c>
      <c r="F154" s="13" t="s">
        <v>110</v>
      </c>
      <c r="G154" s="13" t="s">
        <v>850</v>
      </c>
      <c r="H154" s="11" t="s">
        <v>65</v>
      </c>
      <c r="I154" s="10" t="s">
        <v>1193</v>
      </c>
      <c r="J154" s="10" t="s">
        <v>56</v>
      </c>
      <c r="L154" s="13" t="s">
        <v>1647</v>
      </c>
      <c r="M154" s="13" t="s">
        <v>1631</v>
      </c>
      <c r="N154" s="13" t="s">
        <v>1640</v>
      </c>
      <c r="O154" s="13" t="s">
        <v>1647</v>
      </c>
      <c r="P154" s="13" t="s">
        <v>1631</v>
      </c>
      <c r="R154" s="13" t="s">
        <v>1647</v>
      </c>
      <c r="S154" s="13" t="s">
        <v>1631</v>
      </c>
      <c r="U154" s="13" t="s">
        <v>1647</v>
      </c>
      <c r="V154" s="20" t="s">
        <v>1766</v>
      </c>
      <c r="W154" s="13" t="s">
        <v>1768</v>
      </c>
    </row>
    <row r="155" spans="1:23" ht="105" x14ac:dyDescent="0.25">
      <c r="A155" s="13" t="s">
        <v>437</v>
      </c>
      <c r="B155" s="10" t="s">
        <v>1010</v>
      </c>
      <c r="C155" s="10" t="s">
        <v>1182</v>
      </c>
      <c r="D155" s="10" t="s">
        <v>57</v>
      </c>
      <c r="E155" s="13" t="s">
        <v>1006</v>
      </c>
      <c r="F155" s="13" t="s">
        <v>110</v>
      </c>
      <c r="G155" s="13" t="s">
        <v>851</v>
      </c>
      <c r="H155" s="11" t="s">
        <v>65</v>
      </c>
      <c r="I155" s="10" t="s">
        <v>1192</v>
      </c>
      <c r="J155" s="10" t="s">
        <v>56</v>
      </c>
      <c r="L155" s="13" t="s">
        <v>1647</v>
      </c>
      <c r="M155" s="13" t="s">
        <v>1631</v>
      </c>
      <c r="N155" s="13" t="s">
        <v>1640</v>
      </c>
      <c r="O155" s="13" t="s">
        <v>1647</v>
      </c>
      <c r="P155" s="13" t="s">
        <v>1631</v>
      </c>
      <c r="R155" s="13" t="s">
        <v>1647</v>
      </c>
      <c r="S155" s="13" t="s">
        <v>1631</v>
      </c>
      <c r="U155" s="13" t="s">
        <v>1647</v>
      </c>
      <c r="V155" s="13" t="s">
        <v>1631</v>
      </c>
      <c r="W155" s="13" t="s">
        <v>1767</v>
      </c>
    </row>
    <row r="156" spans="1:23" ht="105" x14ac:dyDescent="0.25">
      <c r="A156" s="13" t="s">
        <v>438</v>
      </c>
      <c r="B156" s="10" t="s">
        <v>1011</v>
      </c>
      <c r="C156" s="10" t="s">
        <v>1182</v>
      </c>
      <c r="D156" s="10" t="s">
        <v>57</v>
      </c>
      <c r="E156" s="13" t="s">
        <v>1009</v>
      </c>
      <c r="F156" s="13" t="s">
        <v>110</v>
      </c>
      <c r="G156" s="13" t="s">
        <v>851</v>
      </c>
      <c r="H156" s="11" t="s">
        <v>65</v>
      </c>
      <c r="I156" s="10" t="s">
        <v>1194</v>
      </c>
      <c r="J156" s="10" t="s">
        <v>56</v>
      </c>
      <c r="L156" s="13" t="s">
        <v>1647</v>
      </c>
      <c r="M156" s="13" t="s">
        <v>1631</v>
      </c>
      <c r="N156" s="13" t="s">
        <v>1640</v>
      </c>
      <c r="O156" s="13" t="s">
        <v>1647</v>
      </c>
      <c r="P156" s="13" t="s">
        <v>1631</v>
      </c>
      <c r="R156" s="13" t="s">
        <v>1647</v>
      </c>
      <c r="S156" s="13" t="s">
        <v>1631</v>
      </c>
      <c r="U156" s="13" t="s">
        <v>1647</v>
      </c>
      <c r="V156" s="13" t="s">
        <v>1631</v>
      </c>
      <c r="W156" s="13" t="s">
        <v>1768</v>
      </c>
    </row>
    <row r="157" spans="1:23" ht="90" x14ac:dyDescent="0.25">
      <c r="A157" s="13" t="s">
        <v>439</v>
      </c>
      <c r="B157" s="10" t="s">
        <v>963</v>
      </c>
      <c r="C157" s="10" t="s">
        <v>1182</v>
      </c>
      <c r="D157" s="10" t="s">
        <v>57</v>
      </c>
      <c r="E157" s="13" t="s">
        <v>828</v>
      </c>
      <c r="F157" s="13" t="s">
        <v>847</v>
      </c>
      <c r="G157" s="13" t="s">
        <v>898</v>
      </c>
      <c r="H157" s="11" t="s">
        <v>65</v>
      </c>
      <c r="I157" s="10" t="s">
        <v>1187</v>
      </c>
      <c r="J157" s="10" t="s">
        <v>1619</v>
      </c>
      <c r="L157" s="13" t="s">
        <v>1647</v>
      </c>
      <c r="M157" s="13" t="s">
        <v>1631</v>
      </c>
      <c r="N157" s="13" t="s">
        <v>1640</v>
      </c>
      <c r="O157" s="13" t="s">
        <v>1647</v>
      </c>
      <c r="P157" s="13" t="s">
        <v>1631</v>
      </c>
      <c r="R157" s="13" t="s">
        <v>1647</v>
      </c>
      <c r="S157" s="13" t="s">
        <v>1631</v>
      </c>
      <c r="U157" s="13" t="s">
        <v>1653</v>
      </c>
      <c r="V157" s="20" t="s">
        <v>1769</v>
      </c>
      <c r="W157" s="13"/>
    </row>
    <row r="158" spans="1:23" ht="195" x14ac:dyDescent="0.25">
      <c r="A158" s="13" t="s">
        <v>440</v>
      </c>
      <c r="B158" s="10" t="s">
        <v>964</v>
      </c>
      <c r="C158" s="10" t="s">
        <v>1182</v>
      </c>
      <c r="D158" s="10" t="s">
        <v>57</v>
      </c>
      <c r="E158" s="13" t="s">
        <v>828</v>
      </c>
      <c r="F158" s="13" t="s">
        <v>848</v>
      </c>
      <c r="G158" s="13" t="s">
        <v>899</v>
      </c>
      <c r="H158" s="11" t="s">
        <v>65</v>
      </c>
      <c r="I158" s="10" t="s">
        <v>1190</v>
      </c>
      <c r="J158" s="10" t="s">
        <v>1622</v>
      </c>
      <c r="L158" s="13" t="s">
        <v>1647</v>
      </c>
      <c r="M158" s="13" t="s">
        <v>1631</v>
      </c>
      <c r="N158" s="13" t="s">
        <v>1640</v>
      </c>
      <c r="O158" s="13" t="s">
        <v>1647</v>
      </c>
      <c r="P158" s="13" t="s">
        <v>1631</v>
      </c>
      <c r="R158" s="13" t="s">
        <v>1647</v>
      </c>
      <c r="S158" s="13" t="s">
        <v>1631</v>
      </c>
      <c r="U158" s="13" t="s">
        <v>1653</v>
      </c>
      <c r="V158" s="20" t="s">
        <v>1770</v>
      </c>
      <c r="W158" s="13"/>
    </row>
    <row r="159" spans="1:23" ht="75" x14ac:dyDescent="0.25">
      <c r="A159" s="13" t="s">
        <v>441</v>
      </c>
      <c r="B159" s="10" t="s">
        <v>888</v>
      </c>
      <c r="C159" s="10" t="s">
        <v>1182</v>
      </c>
      <c r="D159" s="10" t="s">
        <v>57</v>
      </c>
      <c r="E159" s="13" t="s">
        <v>828</v>
      </c>
      <c r="F159" s="13" t="s">
        <v>847</v>
      </c>
      <c r="G159" s="13" t="s">
        <v>866</v>
      </c>
      <c r="H159" s="11" t="s">
        <v>65</v>
      </c>
      <c r="I159" s="10" t="s">
        <v>1190</v>
      </c>
      <c r="J159" s="10" t="s">
        <v>56</v>
      </c>
      <c r="L159" s="13" t="s">
        <v>1647</v>
      </c>
      <c r="M159" s="13" t="s">
        <v>1631</v>
      </c>
      <c r="N159" s="13" t="s">
        <v>1640</v>
      </c>
      <c r="O159" s="13" t="s">
        <v>1647</v>
      </c>
      <c r="P159" s="13" t="s">
        <v>1631</v>
      </c>
      <c r="R159" s="13" t="s">
        <v>1647</v>
      </c>
      <c r="S159" s="13" t="s">
        <v>1631</v>
      </c>
      <c r="U159" s="13" t="s">
        <v>1653</v>
      </c>
      <c r="V159" s="20" t="s">
        <v>1771</v>
      </c>
      <c r="W159" s="13"/>
    </row>
    <row r="160" spans="1:23" ht="105" x14ac:dyDescent="0.25">
      <c r="A160" s="13" t="s">
        <v>442</v>
      </c>
      <c r="B160" s="10" t="s">
        <v>889</v>
      </c>
      <c r="C160" s="10" t="s">
        <v>1182</v>
      </c>
      <c r="D160" s="10" t="s">
        <v>57</v>
      </c>
      <c r="E160" s="13" t="s">
        <v>828</v>
      </c>
      <c r="F160" s="13" t="s">
        <v>848</v>
      </c>
      <c r="G160" s="13" t="s">
        <v>868</v>
      </c>
      <c r="H160" s="11" t="s">
        <v>65</v>
      </c>
      <c r="I160" s="10" t="s">
        <v>1190</v>
      </c>
      <c r="J160" s="10" t="s">
        <v>890</v>
      </c>
      <c r="L160" s="13" t="s">
        <v>1647</v>
      </c>
      <c r="M160" s="13" t="s">
        <v>1631</v>
      </c>
      <c r="N160" s="13" t="s">
        <v>1640</v>
      </c>
      <c r="O160" s="13" t="s">
        <v>1647</v>
      </c>
      <c r="P160" s="13" t="s">
        <v>1631</v>
      </c>
      <c r="R160" s="13" t="s">
        <v>1647</v>
      </c>
      <c r="S160" s="13" t="s">
        <v>1631</v>
      </c>
      <c r="U160" s="13" t="s">
        <v>1653</v>
      </c>
      <c r="V160" s="20" t="s">
        <v>1772</v>
      </c>
      <c r="W160" s="13"/>
    </row>
    <row r="161" spans="1:23" ht="409.5" x14ac:dyDescent="0.25">
      <c r="A161" s="13" t="s">
        <v>443</v>
      </c>
      <c r="B161" s="10" t="s">
        <v>965</v>
      </c>
      <c r="C161" s="10" t="s">
        <v>1182</v>
      </c>
      <c r="D161" s="10" t="s">
        <v>57</v>
      </c>
      <c r="E161" s="13" t="s">
        <v>860</v>
      </c>
      <c r="F161" s="13" t="s">
        <v>870</v>
      </c>
      <c r="G161" s="13" t="s">
        <v>904</v>
      </c>
      <c r="H161" s="11" t="s">
        <v>65</v>
      </c>
      <c r="I161" s="10" t="s">
        <v>1188</v>
      </c>
      <c r="J161" s="10" t="s">
        <v>871</v>
      </c>
      <c r="L161" s="13" t="s">
        <v>1647</v>
      </c>
      <c r="M161" s="13" t="s">
        <v>1631</v>
      </c>
      <c r="N161" s="13" t="s">
        <v>1640</v>
      </c>
      <c r="O161" s="13" t="s">
        <v>1647</v>
      </c>
      <c r="P161" s="13" t="s">
        <v>1631</v>
      </c>
      <c r="R161" s="13" t="s">
        <v>1647</v>
      </c>
      <c r="S161" s="13" t="s">
        <v>1631</v>
      </c>
      <c r="U161" s="13" t="s">
        <v>1647</v>
      </c>
      <c r="V161" s="13" t="s">
        <v>1631</v>
      </c>
      <c r="W161" s="13" t="s">
        <v>1773</v>
      </c>
    </row>
    <row r="162" spans="1:23" ht="210" x14ac:dyDescent="0.25">
      <c r="A162" s="13" t="s">
        <v>444</v>
      </c>
      <c r="B162" s="10" t="s">
        <v>966</v>
      </c>
      <c r="C162" s="10" t="s">
        <v>1182</v>
      </c>
      <c r="D162" s="10" t="s">
        <v>57</v>
      </c>
      <c r="E162" s="13" t="s">
        <v>828</v>
      </c>
      <c r="F162" s="13" t="s">
        <v>872</v>
      </c>
      <c r="G162" s="13" t="s">
        <v>922</v>
      </c>
      <c r="H162" s="11" t="s">
        <v>65</v>
      </c>
      <c r="I162" s="10" t="s">
        <v>56</v>
      </c>
      <c r="J162" s="10" t="s">
        <v>1183</v>
      </c>
      <c r="L162" s="13" t="s">
        <v>1647</v>
      </c>
      <c r="M162" s="13" t="s">
        <v>1631</v>
      </c>
      <c r="N162" s="13" t="s">
        <v>1640</v>
      </c>
      <c r="O162" s="13" t="s">
        <v>1647</v>
      </c>
      <c r="P162" s="13" t="s">
        <v>1631</v>
      </c>
      <c r="R162" s="13" t="s">
        <v>1647</v>
      </c>
      <c r="S162" s="13" t="s">
        <v>1631</v>
      </c>
      <c r="U162" s="13" t="s">
        <v>1647</v>
      </c>
      <c r="V162" s="13" t="s">
        <v>1631</v>
      </c>
      <c r="W162" s="13" t="s">
        <v>1773</v>
      </c>
    </row>
    <row r="163" spans="1:23" ht="180" x14ac:dyDescent="0.25">
      <c r="A163" s="13" t="s">
        <v>445</v>
      </c>
      <c r="B163" s="10" t="s">
        <v>967</v>
      </c>
      <c r="C163" s="10" t="s">
        <v>1182</v>
      </c>
      <c r="D163" s="10" t="s">
        <v>57</v>
      </c>
      <c r="E163" s="13" t="s">
        <v>828</v>
      </c>
      <c r="F163" s="13" t="s">
        <v>870</v>
      </c>
      <c r="G163" s="13" t="s">
        <v>922</v>
      </c>
      <c r="H163" s="11" t="s">
        <v>65</v>
      </c>
      <c r="I163" s="10" t="s">
        <v>56</v>
      </c>
      <c r="J163" s="10" t="s">
        <v>1184</v>
      </c>
      <c r="L163" s="13" t="s">
        <v>1647</v>
      </c>
      <c r="M163" s="13" t="s">
        <v>1631</v>
      </c>
      <c r="N163" s="13" t="s">
        <v>1640</v>
      </c>
      <c r="O163" s="13" t="s">
        <v>1647</v>
      </c>
      <c r="P163" s="13" t="s">
        <v>1631</v>
      </c>
      <c r="R163" s="13" t="s">
        <v>1647</v>
      </c>
      <c r="S163" s="13" t="s">
        <v>1631</v>
      </c>
      <c r="U163" s="13" t="s">
        <v>1647</v>
      </c>
      <c r="V163" s="13" t="s">
        <v>1631</v>
      </c>
      <c r="W163" s="13" t="s">
        <v>1773</v>
      </c>
    </row>
    <row r="164" spans="1:23" ht="165" x14ac:dyDescent="0.25">
      <c r="A164" s="13" t="s">
        <v>446</v>
      </c>
      <c r="B164" s="10" t="s">
        <v>968</v>
      </c>
      <c r="C164" s="10" t="s">
        <v>1182</v>
      </c>
      <c r="D164" s="10" t="s">
        <v>57</v>
      </c>
      <c r="E164" s="13" t="s">
        <v>828</v>
      </c>
      <c r="F164" s="13" t="s">
        <v>879</v>
      </c>
      <c r="G164" s="13" t="s">
        <v>922</v>
      </c>
      <c r="H164" s="11" t="s">
        <v>65</v>
      </c>
      <c r="I164" s="10" t="s">
        <v>1187</v>
      </c>
      <c r="J164" s="10" t="s">
        <v>56</v>
      </c>
      <c r="L164" s="13" t="s">
        <v>1647</v>
      </c>
      <c r="M164" s="13" t="s">
        <v>1631</v>
      </c>
      <c r="N164" s="13" t="s">
        <v>1640</v>
      </c>
      <c r="O164" s="13" t="s">
        <v>1647</v>
      </c>
      <c r="P164" s="13" t="s">
        <v>1631</v>
      </c>
      <c r="R164" s="13" t="s">
        <v>1647</v>
      </c>
      <c r="S164" s="13" t="s">
        <v>1631</v>
      </c>
      <c r="U164" s="13" t="s">
        <v>1647</v>
      </c>
      <c r="V164" s="13" t="s">
        <v>1631</v>
      </c>
      <c r="W164" s="13" t="s">
        <v>1773</v>
      </c>
    </row>
    <row r="165" spans="1:23" ht="165" x14ac:dyDescent="0.25">
      <c r="A165" s="13" t="s">
        <v>447</v>
      </c>
      <c r="B165" s="10" t="s">
        <v>969</v>
      </c>
      <c r="C165" s="10" t="s">
        <v>1182</v>
      </c>
      <c r="D165" s="10" t="s">
        <v>57</v>
      </c>
      <c r="E165" s="13" t="s">
        <v>828</v>
      </c>
      <c r="F165" s="13" t="s">
        <v>880</v>
      </c>
      <c r="G165" s="13" t="s">
        <v>922</v>
      </c>
      <c r="H165" s="11" t="s">
        <v>65</v>
      </c>
      <c r="I165" s="10" t="s">
        <v>1187</v>
      </c>
      <c r="J165" s="10" t="s">
        <v>56</v>
      </c>
      <c r="L165" s="13" t="s">
        <v>1647</v>
      </c>
      <c r="M165" s="13" t="s">
        <v>1631</v>
      </c>
      <c r="N165" s="13" t="s">
        <v>1640</v>
      </c>
      <c r="O165" s="13" t="s">
        <v>1647</v>
      </c>
      <c r="P165" s="13" t="s">
        <v>1631</v>
      </c>
      <c r="R165" s="13" t="s">
        <v>1647</v>
      </c>
      <c r="S165" s="13" t="s">
        <v>1631</v>
      </c>
      <c r="U165" s="13" t="s">
        <v>1647</v>
      </c>
      <c r="V165" s="13" t="s">
        <v>1631</v>
      </c>
      <c r="W165" s="13" t="s">
        <v>1773</v>
      </c>
    </row>
    <row r="166" spans="1:23" ht="135" x14ac:dyDescent="0.25">
      <c r="A166" s="13" t="s">
        <v>448</v>
      </c>
      <c r="B166" s="10" t="s">
        <v>970</v>
      </c>
      <c r="C166" s="10" t="s">
        <v>1182</v>
      </c>
      <c r="D166" s="10" t="s">
        <v>57</v>
      </c>
      <c r="E166" s="13" t="s">
        <v>828</v>
      </c>
      <c r="F166" s="13" t="s">
        <v>881</v>
      </c>
      <c r="G166" s="13" t="s">
        <v>922</v>
      </c>
      <c r="H166" s="11" t="s">
        <v>65</v>
      </c>
      <c r="I166" s="10" t="s">
        <v>1187</v>
      </c>
      <c r="J166" s="10" t="s">
        <v>56</v>
      </c>
      <c r="L166" s="13" t="s">
        <v>1647</v>
      </c>
      <c r="M166" s="13" t="s">
        <v>1631</v>
      </c>
      <c r="N166" s="13" t="s">
        <v>1640</v>
      </c>
      <c r="O166" s="13" t="s">
        <v>1647</v>
      </c>
      <c r="P166" s="13" t="s">
        <v>1631</v>
      </c>
      <c r="R166" s="13" t="s">
        <v>1647</v>
      </c>
      <c r="S166" s="13" t="s">
        <v>1631</v>
      </c>
      <c r="U166" s="13" t="s">
        <v>1647</v>
      </c>
      <c r="V166" s="13" t="s">
        <v>1631</v>
      </c>
      <c r="W166" s="13" t="s">
        <v>1773</v>
      </c>
    </row>
    <row r="167" spans="1:23" ht="135" x14ac:dyDescent="0.25">
      <c r="A167" s="13" t="s">
        <v>449</v>
      </c>
      <c r="B167" s="10" t="s">
        <v>971</v>
      </c>
      <c r="C167" s="10" t="s">
        <v>1182</v>
      </c>
      <c r="D167" s="10" t="s">
        <v>57</v>
      </c>
      <c r="E167" s="13" t="s">
        <v>828</v>
      </c>
      <c r="F167" s="13" t="s">
        <v>882</v>
      </c>
      <c r="G167" s="13" t="s">
        <v>922</v>
      </c>
      <c r="H167" s="11" t="s">
        <v>65</v>
      </c>
      <c r="I167" s="10" t="s">
        <v>1187</v>
      </c>
      <c r="J167" s="10" t="s">
        <v>56</v>
      </c>
      <c r="L167" s="13" t="s">
        <v>1647</v>
      </c>
      <c r="M167" s="13" t="s">
        <v>1631</v>
      </c>
      <c r="N167" s="13" t="s">
        <v>1640</v>
      </c>
      <c r="O167" s="13" t="s">
        <v>1647</v>
      </c>
      <c r="P167" s="13" t="s">
        <v>1631</v>
      </c>
      <c r="R167" s="13" t="s">
        <v>1647</v>
      </c>
      <c r="S167" s="13" t="s">
        <v>1631</v>
      </c>
      <c r="U167" s="13" t="s">
        <v>1647</v>
      </c>
      <c r="V167" s="13" t="s">
        <v>1631</v>
      </c>
      <c r="W167" s="13" t="s">
        <v>1773</v>
      </c>
    </row>
    <row r="168" spans="1:23" ht="180" hidden="1" x14ac:dyDescent="0.25">
      <c r="A168" s="13" t="s">
        <v>450</v>
      </c>
      <c r="B168" s="13" t="s">
        <v>1313</v>
      </c>
      <c r="C168" s="10" t="s">
        <v>1177</v>
      </c>
      <c r="D168" s="10" t="s">
        <v>57</v>
      </c>
      <c r="E168" s="13" t="s">
        <v>1314</v>
      </c>
      <c r="F168" s="13" t="s">
        <v>915</v>
      </c>
      <c r="G168" s="13" t="s">
        <v>1315</v>
      </c>
      <c r="H168" s="11" t="s">
        <v>65</v>
      </c>
      <c r="I168" s="10" t="s">
        <v>1190</v>
      </c>
      <c r="J168" s="10" t="s">
        <v>814</v>
      </c>
      <c r="L168" s="13" t="s">
        <v>1647</v>
      </c>
      <c r="M168" s="13" t="s">
        <v>1632</v>
      </c>
      <c r="N168" s="13" t="s">
        <v>1636</v>
      </c>
      <c r="O168" s="13" t="s">
        <v>1647</v>
      </c>
      <c r="P168" s="13" t="s">
        <v>1631</v>
      </c>
      <c r="Q168" s="13" t="s">
        <v>1686</v>
      </c>
      <c r="R168" s="13" t="s">
        <v>1653</v>
      </c>
      <c r="S168" s="13" t="s">
        <v>1687</v>
      </c>
      <c r="T168" s="13" t="s">
        <v>1679</v>
      </c>
      <c r="U168" s="13" t="s">
        <v>1647</v>
      </c>
      <c r="V168" s="13" t="s">
        <v>1631</v>
      </c>
      <c r="W168" s="13"/>
    </row>
    <row r="169" spans="1:23" ht="120" hidden="1" x14ac:dyDescent="0.25">
      <c r="A169" s="13" t="s">
        <v>451</v>
      </c>
      <c r="B169" s="10" t="s">
        <v>972</v>
      </c>
      <c r="C169" s="10" t="s">
        <v>1185</v>
      </c>
      <c r="D169" s="10" t="s">
        <v>57</v>
      </c>
      <c r="E169" s="13" t="s">
        <v>829</v>
      </c>
      <c r="F169" s="13" t="s">
        <v>816</v>
      </c>
      <c r="G169" s="13" t="s">
        <v>896</v>
      </c>
      <c r="H169" s="11" t="s">
        <v>65</v>
      </c>
      <c r="I169" s="10" t="s">
        <v>1187</v>
      </c>
      <c r="J169" s="10" t="s">
        <v>56</v>
      </c>
      <c r="L169" s="13" t="s">
        <v>1653</v>
      </c>
      <c r="M169" s="13" t="s">
        <v>1643</v>
      </c>
      <c r="N169" s="13" t="s">
        <v>1642</v>
      </c>
      <c r="O169" s="13" t="s">
        <v>1647</v>
      </c>
      <c r="P169" s="13" t="s">
        <v>1631</v>
      </c>
      <c r="U169" s="13" t="s">
        <v>1647</v>
      </c>
      <c r="V169" s="13" t="s">
        <v>1631</v>
      </c>
      <c r="W169" s="13"/>
    </row>
    <row r="170" spans="1:23" ht="120" hidden="1" x14ac:dyDescent="0.25">
      <c r="A170" s="13" t="s">
        <v>452</v>
      </c>
      <c r="B170" s="10" t="s">
        <v>973</v>
      </c>
      <c r="C170" s="10" t="s">
        <v>1185</v>
      </c>
      <c r="D170" s="10" t="s">
        <v>57</v>
      </c>
      <c r="E170" s="13" t="s">
        <v>830</v>
      </c>
      <c r="F170" s="13" t="s">
        <v>820</v>
      </c>
      <c r="G170" s="13" t="s">
        <v>897</v>
      </c>
      <c r="H170" s="11" t="s">
        <v>65</v>
      </c>
      <c r="I170" s="10" t="s">
        <v>1187</v>
      </c>
      <c r="J170" s="10" t="s">
        <v>56</v>
      </c>
      <c r="L170" s="13" t="s">
        <v>1653</v>
      </c>
      <c r="M170" s="13" t="s">
        <v>1641</v>
      </c>
      <c r="O170" s="13" t="s">
        <v>1647</v>
      </c>
      <c r="P170" s="13" t="s">
        <v>1631</v>
      </c>
      <c r="U170" s="13" t="s">
        <v>1647</v>
      </c>
      <c r="V170" s="13" t="s">
        <v>1631</v>
      </c>
      <c r="W170" s="13"/>
    </row>
    <row r="171" spans="1:23" ht="105" x14ac:dyDescent="0.25">
      <c r="A171" s="13" t="s">
        <v>453</v>
      </c>
      <c r="B171" s="10" t="s">
        <v>1316</v>
      </c>
      <c r="C171" s="10" t="s">
        <v>1182</v>
      </c>
      <c r="D171" s="10" t="s">
        <v>57</v>
      </c>
      <c r="E171" s="13" t="s">
        <v>831</v>
      </c>
      <c r="F171" s="13" t="s">
        <v>1133</v>
      </c>
      <c r="G171" s="13" t="s">
        <v>1199</v>
      </c>
      <c r="H171" s="11" t="s">
        <v>65</v>
      </c>
      <c r="I171" s="10" t="s">
        <v>1187</v>
      </c>
      <c r="J171" s="10" t="s">
        <v>56</v>
      </c>
      <c r="L171" s="13" t="s">
        <v>1647</v>
      </c>
      <c r="M171" s="13" t="s">
        <v>1631</v>
      </c>
      <c r="N171" s="13" t="s">
        <v>1640</v>
      </c>
      <c r="O171" s="13" t="s">
        <v>1647</v>
      </c>
      <c r="P171" s="13" t="s">
        <v>1631</v>
      </c>
      <c r="R171" s="13" t="s">
        <v>1647</v>
      </c>
      <c r="S171" s="13" t="s">
        <v>1631</v>
      </c>
      <c r="U171" s="13" t="s">
        <v>1647</v>
      </c>
      <c r="V171" s="13" t="s">
        <v>1631</v>
      </c>
      <c r="W171" s="13" t="s">
        <v>1706</v>
      </c>
    </row>
    <row r="172" spans="1:23" ht="105" x14ac:dyDescent="0.25">
      <c r="A172" s="13" t="s">
        <v>454</v>
      </c>
      <c r="B172" s="10" t="s">
        <v>1317</v>
      </c>
      <c r="C172" s="10" t="s">
        <v>1182</v>
      </c>
      <c r="D172" s="10" t="s">
        <v>57</v>
      </c>
      <c r="E172" s="13" t="s">
        <v>831</v>
      </c>
      <c r="F172" s="13" t="s">
        <v>1134</v>
      </c>
      <c r="G172" s="13" t="s">
        <v>1201</v>
      </c>
      <c r="H172" s="11" t="s">
        <v>65</v>
      </c>
      <c r="I172" s="10" t="s">
        <v>1187</v>
      </c>
      <c r="J172" s="10" t="s">
        <v>1202</v>
      </c>
      <c r="L172" s="13" t="s">
        <v>1647</v>
      </c>
      <c r="M172" s="13" t="s">
        <v>1631</v>
      </c>
      <c r="N172" s="13" t="s">
        <v>1640</v>
      </c>
      <c r="O172" s="13" t="s">
        <v>1647</v>
      </c>
      <c r="P172" s="13" t="s">
        <v>1631</v>
      </c>
      <c r="R172" s="13" t="s">
        <v>1647</v>
      </c>
      <c r="S172" s="13" t="s">
        <v>1631</v>
      </c>
      <c r="U172" s="13" t="s">
        <v>1647</v>
      </c>
      <c r="V172" s="13" t="s">
        <v>1631</v>
      </c>
      <c r="W172" s="13" t="s">
        <v>1706</v>
      </c>
    </row>
    <row r="173" spans="1:23" ht="105" x14ac:dyDescent="0.25">
      <c r="A173" s="13" t="s">
        <v>455</v>
      </c>
      <c r="B173" s="10" t="s">
        <v>1318</v>
      </c>
      <c r="C173" s="10" t="s">
        <v>1182</v>
      </c>
      <c r="D173" s="10" t="s">
        <v>57</v>
      </c>
      <c r="E173" s="13" t="s">
        <v>831</v>
      </c>
      <c r="F173" s="13" t="s">
        <v>1135</v>
      </c>
      <c r="G173" s="13" t="s">
        <v>1204</v>
      </c>
      <c r="H173" s="11" t="s">
        <v>65</v>
      </c>
      <c r="I173" s="10" t="s">
        <v>1187</v>
      </c>
      <c r="J173" s="10" t="s">
        <v>56</v>
      </c>
      <c r="L173" s="13" t="s">
        <v>1647</v>
      </c>
      <c r="M173" s="13" t="s">
        <v>1631</v>
      </c>
      <c r="N173" s="13" t="s">
        <v>1640</v>
      </c>
      <c r="O173" s="13" t="s">
        <v>1647</v>
      </c>
      <c r="P173" s="13" t="s">
        <v>1631</v>
      </c>
      <c r="R173" s="13" t="s">
        <v>1647</v>
      </c>
      <c r="S173" s="13" t="s">
        <v>1631</v>
      </c>
      <c r="U173" s="13" t="s">
        <v>1647</v>
      </c>
      <c r="V173" s="13" t="s">
        <v>1631</v>
      </c>
      <c r="W173" s="13" t="s">
        <v>1707</v>
      </c>
    </row>
    <row r="174" spans="1:23" ht="105" x14ac:dyDescent="0.25">
      <c r="A174" s="13" t="s">
        <v>456</v>
      </c>
      <c r="B174" s="10" t="s">
        <v>1319</v>
      </c>
      <c r="C174" s="10" t="s">
        <v>1182</v>
      </c>
      <c r="D174" s="10" t="s">
        <v>57</v>
      </c>
      <c r="E174" s="13" t="s">
        <v>831</v>
      </c>
      <c r="F174" s="13" t="s">
        <v>1136</v>
      </c>
      <c r="G174" s="13" t="s">
        <v>1206</v>
      </c>
      <c r="H174" s="11" t="s">
        <v>65</v>
      </c>
      <c r="I174" s="10" t="s">
        <v>1187</v>
      </c>
      <c r="J174" s="10" t="s">
        <v>1207</v>
      </c>
      <c r="L174" s="13" t="s">
        <v>1647</v>
      </c>
      <c r="M174" s="13" t="s">
        <v>1631</v>
      </c>
      <c r="N174" s="13" t="s">
        <v>1640</v>
      </c>
      <c r="O174" s="13" t="s">
        <v>1647</v>
      </c>
      <c r="P174" s="13" t="s">
        <v>1631</v>
      </c>
      <c r="R174" s="13" t="s">
        <v>1647</v>
      </c>
      <c r="S174" s="13" t="s">
        <v>1631</v>
      </c>
      <c r="U174" s="13" t="s">
        <v>1647</v>
      </c>
      <c r="V174" s="13" t="s">
        <v>1631</v>
      </c>
      <c r="W174" s="13" t="s">
        <v>1707</v>
      </c>
    </row>
    <row r="175" spans="1:23" ht="150" x14ac:dyDescent="0.25">
      <c r="A175" s="13" t="s">
        <v>457</v>
      </c>
      <c r="B175" s="10" t="s">
        <v>1320</v>
      </c>
      <c r="C175" s="10" t="s">
        <v>1182</v>
      </c>
      <c r="D175" s="10" t="s">
        <v>57</v>
      </c>
      <c r="E175" s="13" t="s">
        <v>831</v>
      </c>
      <c r="F175" s="13" t="s">
        <v>1240</v>
      </c>
      <c r="G175" s="13" t="s">
        <v>841</v>
      </c>
      <c r="H175" s="11" t="s">
        <v>65</v>
      </c>
      <c r="I175" s="10" t="s">
        <v>1190</v>
      </c>
      <c r="J175" s="10" t="s">
        <v>56</v>
      </c>
      <c r="L175" s="13" t="s">
        <v>1647</v>
      </c>
      <c r="M175" s="13" t="s">
        <v>1631</v>
      </c>
      <c r="N175" s="13" t="s">
        <v>1640</v>
      </c>
      <c r="O175" s="13" t="s">
        <v>1647</v>
      </c>
      <c r="P175" s="13" t="s">
        <v>1631</v>
      </c>
      <c r="R175" s="13" t="s">
        <v>1647</v>
      </c>
      <c r="S175" s="13" t="s">
        <v>1631</v>
      </c>
      <c r="U175" s="13" t="s">
        <v>1653</v>
      </c>
      <c r="V175" s="20" t="s">
        <v>1774</v>
      </c>
      <c r="W175" s="13"/>
    </row>
    <row r="176" spans="1:23" ht="150" x14ac:dyDescent="0.25">
      <c r="A176" s="13" t="s">
        <v>458</v>
      </c>
      <c r="B176" s="10" t="s">
        <v>1321</v>
      </c>
      <c r="C176" s="10" t="s">
        <v>1182</v>
      </c>
      <c r="D176" s="10" t="s">
        <v>57</v>
      </c>
      <c r="E176" s="13" t="s">
        <v>831</v>
      </c>
      <c r="F176" s="13" t="s">
        <v>1322</v>
      </c>
      <c r="G176" s="13" t="s">
        <v>836</v>
      </c>
      <c r="H176" s="11" t="s">
        <v>65</v>
      </c>
      <c r="I176" s="10" t="s">
        <v>56</v>
      </c>
      <c r="J176" s="10" t="s">
        <v>1323</v>
      </c>
      <c r="L176" s="13" t="s">
        <v>1647</v>
      </c>
      <c r="M176" s="13" t="s">
        <v>1631</v>
      </c>
      <c r="N176" s="13" t="s">
        <v>1640</v>
      </c>
      <c r="O176" s="13" t="s">
        <v>1647</v>
      </c>
      <c r="P176" s="13" t="s">
        <v>1631</v>
      </c>
      <c r="R176" s="13" t="s">
        <v>1647</v>
      </c>
      <c r="S176" s="13" t="s">
        <v>1631</v>
      </c>
      <c r="U176" s="13" t="s">
        <v>1653</v>
      </c>
      <c r="V176" s="20" t="s">
        <v>1775</v>
      </c>
      <c r="W176" s="13"/>
    </row>
    <row r="177" spans="1:23" ht="150" x14ac:dyDescent="0.25">
      <c r="A177" s="13" t="s">
        <v>459</v>
      </c>
      <c r="B177" s="10" t="s">
        <v>1324</v>
      </c>
      <c r="C177" s="10" t="s">
        <v>1182</v>
      </c>
      <c r="D177" s="10" t="s">
        <v>57</v>
      </c>
      <c r="E177" s="13" t="s">
        <v>831</v>
      </c>
      <c r="F177" s="13" t="s">
        <v>1325</v>
      </c>
      <c r="G177" s="13" t="s">
        <v>836</v>
      </c>
      <c r="H177" s="11" t="s">
        <v>65</v>
      </c>
      <c r="I177" s="10" t="s">
        <v>56</v>
      </c>
      <c r="J177" s="10" t="s">
        <v>1326</v>
      </c>
      <c r="L177" s="13" t="s">
        <v>1647</v>
      </c>
      <c r="M177" s="13" t="s">
        <v>1631</v>
      </c>
      <c r="N177" s="13" t="s">
        <v>1640</v>
      </c>
      <c r="O177" s="13" t="s">
        <v>1647</v>
      </c>
      <c r="P177" s="13" t="s">
        <v>1631</v>
      </c>
      <c r="R177" s="13" t="s">
        <v>1647</v>
      </c>
      <c r="S177" s="13" t="s">
        <v>1631</v>
      </c>
      <c r="U177" s="13" t="s">
        <v>1653</v>
      </c>
      <c r="V177" s="20" t="s">
        <v>1776</v>
      </c>
      <c r="W177" s="13"/>
    </row>
    <row r="178" spans="1:23" ht="150" x14ac:dyDescent="0.25">
      <c r="A178" s="13" t="s">
        <v>460</v>
      </c>
      <c r="B178" s="10" t="s">
        <v>1327</v>
      </c>
      <c r="C178" s="10" t="s">
        <v>1182</v>
      </c>
      <c r="D178" s="10" t="s">
        <v>57</v>
      </c>
      <c r="E178" s="13" t="s">
        <v>831</v>
      </c>
      <c r="F178" s="13" t="s">
        <v>1328</v>
      </c>
      <c r="G178" s="13" t="s">
        <v>836</v>
      </c>
      <c r="H178" s="11" t="s">
        <v>65</v>
      </c>
      <c r="I178" s="10" t="s">
        <v>56</v>
      </c>
      <c r="J178" s="10" t="s">
        <v>1329</v>
      </c>
      <c r="L178" s="13" t="s">
        <v>1647</v>
      </c>
      <c r="M178" s="13" t="s">
        <v>1631</v>
      </c>
      <c r="N178" s="13" t="s">
        <v>1640</v>
      </c>
      <c r="O178" s="13" t="s">
        <v>1647</v>
      </c>
      <c r="P178" s="13" t="s">
        <v>1631</v>
      </c>
      <c r="R178" s="13" t="s">
        <v>1647</v>
      </c>
      <c r="S178" s="13" t="s">
        <v>1631</v>
      </c>
      <c r="U178" s="13" t="s">
        <v>1653</v>
      </c>
      <c r="V178" s="20" t="s">
        <v>1777</v>
      </c>
      <c r="W178" s="13"/>
    </row>
    <row r="179" spans="1:23" ht="150" x14ac:dyDescent="0.25">
      <c r="A179" s="13" t="s">
        <v>461</v>
      </c>
      <c r="B179" s="10" t="s">
        <v>1330</v>
      </c>
      <c r="C179" s="10" t="s">
        <v>1182</v>
      </c>
      <c r="D179" s="10" t="s">
        <v>57</v>
      </c>
      <c r="E179" s="13" t="s">
        <v>831</v>
      </c>
      <c r="F179" s="13" t="s">
        <v>1331</v>
      </c>
      <c r="G179" s="13" t="s">
        <v>836</v>
      </c>
      <c r="H179" s="11" t="s">
        <v>65</v>
      </c>
      <c r="I179" s="10" t="s">
        <v>56</v>
      </c>
      <c r="J179" s="10" t="s">
        <v>1329</v>
      </c>
      <c r="L179" s="13" t="s">
        <v>1647</v>
      </c>
      <c r="M179" s="13" t="s">
        <v>1631</v>
      </c>
      <c r="N179" s="13" t="s">
        <v>1640</v>
      </c>
      <c r="O179" s="13" t="s">
        <v>1647</v>
      </c>
      <c r="P179" s="13" t="s">
        <v>1631</v>
      </c>
      <c r="R179" s="13" t="s">
        <v>1647</v>
      </c>
      <c r="S179" s="13" t="s">
        <v>1631</v>
      </c>
      <c r="U179" s="13" t="s">
        <v>1653</v>
      </c>
      <c r="V179" s="20" t="s">
        <v>1778</v>
      </c>
      <c r="W179" s="13"/>
    </row>
    <row r="180" spans="1:23" ht="120" x14ac:dyDescent="0.25">
      <c r="A180" s="13" t="s">
        <v>462</v>
      </c>
      <c r="B180" s="10" t="s">
        <v>1332</v>
      </c>
      <c r="C180" s="10" t="s">
        <v>1182</v>
      </c>
      <c r="D180" s="10" t="s">
        <v>57</v>
      </c>
      <c r="E180" s="13" t="s">
        <v>831</v>
      </c>
      <c r="F180" s="13" t="s">
        <v>1333</v>
      </c>
      <c r="G180" s="13" t="s">
        <v>836</v>
      </c>
      <c r="H180" s="11" t="s">
        <v>65</v>
      </c>
      <c r="I180" s="10" t="s">
        <v>1190</v>
      </c>
      <c r="J180" s="10" t="s">
        <v>56</v>
      </c>
      <c r="L180" s="13" t="s">
        <v>1647</v>
      </c>
      <c r="M180" s="13" t="s">
        <v>1631</v>
      </c>
      <c r="N180" s="13" t="s">
        <v>1640</v>
      </c>
      <c r="O180" s="13" t="s">
        <v>1647</v>
      </c>
      <c r="P180" s="13" t="s">
        <v>1631</v>
      </c>
      <c r="R180" s="13" t="s">
        <v>1647</v>
      </c>
      <c r="S180" s="13" t="s">
        <v>1631</v>
      </c>
      <c r="U180" s="13" t="s">
        <v>1647</v>
      </c>
      <c r="V180" s="13" t="s">
        <v>1631</v>
      </c>
      <c r="W180" s="13"/>
    </row>
    <row r="181" spans="1:23" ht="120" x14ac:dyDescent="0.25">
      <c r="A181" s="13" t="s">
        <v>463</v>
      </c>
      <c r="B181" s="10" t="s">
        <v>1334</v>
      </c>
      <c r="C181" s="10" t="s">
        <v>1182</v>
      </c>
      <c r="D181" s="10" t="s">
        <v>57</v>
      </c>
      <c r="E181" s="13" t="s">
        <v>831</v>
      </c>
      <c r="F181" s="13" t="s">
        <v>1335</v>
      </c>
      <c r="G181" s="13" t="s">
        <v>836</v>
      </c>
      <c r="H181" s="11" t="s">
        <v>65</v>
      </c>
      <c r="I181" s="10" t="s">
        <v>1190</v>
      </c>
      <c r="J181" s="10" t="s">
        <v>56</v>
      </c>
      <c r="L181" s="13" t="s">
        <v>1647</v>
      </c>
      <c r="M181" s="13" t="s">
        <v>1631</v>
      </c>
      <c r="N181" s="13" t="s">
        <v>1640</v>
      </c>
      <c r="O181" s="13" t="s">
        <v>1647</v>
      </c>
      <c r="P181" s="13" t="s">
        <v>1631</v>
      </c>
      <c r="R181" s="13" t="s">
        <v>1647</v>
      </c>
      <c r="S181" s="13" t="s">
        <v>1631</v>
      </c>
      <c r="U181" s="13" t="s">
        <v>1647</v>
      </c>
      <c r="V181" s="13" t="s">
        <v>1631</v>
      </c>
      <c r="W181" s="13"/>
    </row>
    <row r="182" spans="1:23" ht="105" x14ac:dyDescent="0.25">
      <c r="A182" s="13" t="s">
        <v>464</v>
      </c>
      <c r="B182" s="10" t="s">
        <v>1012</v>
      </c>
      <c r="C182" s="10" t="s">
        <v>1182</v>
      </c>
      <c r="D182" s="10" t="s">
        <v>57</v>
      </c>
      <c r="E182" s="13" t="s">
        <v>1013</v>
      </c>
      <c r="F182" s="13" t="s">
        <v>110</v>
      </c>
      <c r="G182" s="13" t="s">
        <v>852</v>
      </c>
      <c r="H182" s="11" t="s">
        <v>65</v>
      </c>
      <c r="I182" s="10" t="s">
        <v>1191</v>
      </c>
      <c r="J182" s="10" t="s">
        <v>56</v>
      </c>
      <c r="L182" s="13" t="s">
        <v>1647</v>
      </c>
      <c r="M182" s="13" t="s">
        <v>1631</v>
      </c>
      <c r="N182" s="13" t="s">
        <v>1640</v>
      </c>
      <c r="O182" s="13" t="s">
        <v>1647</v>
      </c>
      <c r="P182" s="13" t="s">
        <v>1631</v>
      </c>
      <c r="R182" s="13" t="s">
        <v>1647</v>
      </c>
      <c r="S182" s="13" t="s">
        <v>1631</v>
      </c>
      <c r="U182" s="13" t="s">
        <v>1647</v>
      </c>
      <c r="V182" s="13" t="s">
        <v>1631</v>
      </c>
      <c r="W182" s="13" t="s">
        <v>1779</v>
      </c>
    </row>
    <row r="183" spans="1:23" ht="105" x14ac:dyDescent="0.25">
      <c r="A183" s="13" t="s">
        <v>465</v>
      </c>
      <c r="B183" s="10" t="s">
        <v>1014</v>
      </c>
      <c r="C183" s="10" t="s">
        <v>1182</v>
      </c>
      <c r="D183" s="10" t="s">
        <v>57</v>
      </c>
      <c r="E183" s="13" t="s">
        <v>1015</v>
      </c>
      <c r="F183" s="13" t="s">
        <v>110</v>
      </c>
      <c r="G183" s="13" t="s">
        <v>853</v>
      </c>
      <c r="H183" s="11" t="s">
        <v>65</v>
      </c>
      <c r="I183" s="10" t="s">
        <v>1193</v>
      </c>
      <c r="J183" s="10" t="s">
        <v>56</v>
      </c>
      <c r="L183" s="13" t="s">
        <v>1647</v>
      </c>
      <c r="M183" s="13" t="s">
        <v>1631</v>
      </c>
      <c r="N183" s="13" t="s">
        <v>1640</v>
      </c>
      <c r="O183" s="13" t="s">
        <v>1647</v>
      </c>
      <c r="P183" s="13" t="s">
        <v>1631</v>
      </c>
      <c r="R183" s="13" t="s">
        <v>1647</v>
      </c>
      <c r="S183" s="13" t="s">
        <v>1631</v>
      </c>
      <c r="U183" s="13" t="s">
        <v>1647</v>
      </c>
      <c r="V183" s="13" t="s">
        <v>1631</v>
      </c>
      <c r="W183" s="13" t="s">
        <v>1780</v>
      </c>
    </row>
    <row r="184" spans="1:23" ht="105" x14ac:dyDescent="0.25">
      <c r="A184" s="13" t="s">
        <v>466</v>
      </c>
      <c r="B184" s="10" t="s">
        <v>1016</v>
      </c>
      <c r="C184" s="10" t="s">
        <v>1182</v>
      </c>
      <c r="D184" s="10" t="s">
        <v>57</v>
      </c>
      <c r="E184" s="13" t="s">
        <v>1013</v>
      </c>
      <c r="F184" s="13" t="s">
        <v>110</v>
      </c>
      <c r="G184" s="13" t="s">
        <v>854</v>
      </c>
      <c r="H184" s="11" t="s">
        <v>65</v>
      </c>
      <c r="I184" s="10" t="s">
        <v>1191</v>
      </c>
      <c r="J184" s="10" t="s">
        <v>56</v>
      </c>
      <c r="L184" s="13" t="s">
        <v>1647</v>
      </c>
      <c r="M184" s="13" t="s">
        <v>1631</v>
      </c>
      <c r="N184" s="13" t="s">
        <v>1640</v>
      </c>
      <c r="O184" s="13" t="s">
        <v>1647</v>
      </c>
      <c r="P184" s="13" t="s">
        <v>1631</v>
      </c>
      <c r="R184" s="13" t="s">
        <v>1647</v>
      </c>
      <c r="S184" s="13" t="s">
        <v>1631</v>
      </c>
      <c r="U184" s="13" t="s">
        <v>1647</v>
      </c>
      <c r="V184" s="13" t="s">
        <v>1631</v>
      </c>
      <c r="W184" s="13" t="s">
        <v>1779</v>
      </c>
    </row>
    <row r="185" spans="1:23" ht="105" x14ac:dyDescent="0.25">
      <c r="A185" s="13" t="s">
        <v>467</v>
      </c>
      <c r="B185" s="10" t="s">
        <v>1017</v>
      </c>
      <c r="C185" s="10" t="s">
        <v>1182</v>
      </c>
      <c r="D185" s="10" t="s">
        <v>57</v>
      </c>
      <c r="E185" s="13" t="s">
        <v>1015</v>
      </c>
      <c r="F185" s="13" t="s">
        <v>110</v>
      </c>
      <c r="G185" s="13" t="s">
        <v>855</v>
      </c>
      <c r="H185" s="11" t="s">
        <v>65</v>
      </c>
      <c r="I185" s="10" t="s">
        <v>1194</v>
      </c>
      <c r="J185" s="10" t="s">
        <v>56</v>
      </c>
      <c r="L185" s="13" t="s">
        <v>1647</v>
      </c>
      <c r="M185" s="13" t="s">
        <v>1631</v>
      </c>
      <c r="N185" s="13" t="s">
        <v>1640</v>
      </c>
      <c r="O185" s="13" t="s">
        <v>1647</v>
      </c>
      <c r="P185" s="13" t="s">
        <v>1631</v>
      </c>
      <c r="R185" s="13" t="s">
        <v>1647</v>
      </c>
      <c r="S185" s="13" t="s">
        <v>1631</v>
      </c>
      <c r="U185" s="13" t="s">
        <v>1647</v>
      </c>
      <c r="V185" s="13" t="s">
        <v>1631</v>
      </c>
      <c r="W185" s="13" t="s">
        <v>1780</v>
      </c>
    </row>
    <row r="186" spans="1:23" ht="90" x14ac:dyDescent="0.25">
      <c r="A186" s="13" t="s">
        <v>468</v>
      </c>
      <c r="B186" s="10" t="s">
        <v>974</v>
      </c>
      <c r="C186" s="10" t="s">
        <v>1182</v>
      </c>
      <c r="D186" s="10" t="s">
        <v>57</v>
      </c>
      <c r="E186" s="13" t="s">
        <v>831</v>
      </c>
      <c r="F186" s="13" t="s">
        <v>847</v>
      </c>
      <c r="G186" s="13" t="s">
        <v>898</v>
      </c>
      <c r="H186" s="11" t="s">
        <v>65</v>
      </c>
      <c r="I186" s="10" t="s">
        <v>1187</v>
      </c>
      <c r="J186" s="10" t="s">
        <v>1619</v>
      </c>
      <c r="L186" s="13" t="s">
        <v>1647</v>
      </c>
      <c r="M186" s="13" t="s">
        <v>1631</v>
      </c>
      <c r="N186" s="13" t="s">
        <v>1640</v>
      </c>
      <c r="O186" s="13" t="s">
        <v>1647</v>
      </c>
      <c r="P186" s="13" t="s">
        <v>1631</v>
      </c>
      <c r="R186" s="13" t="s">
        <v>1647</v>
      </c>
      <c r="S186" s="13" t="s">
        <v>1631</v>
      </c>
      <c r="U186" s="13" t="s">
        <v>1653</v>
      </c>
      <c r="V186" s="20" t="s">
        <v>1782</v>
      </c>
      <c r="W186" s="13"/>
    </row>
    <row r="187" spans="1:23" ht="195" x14ac:dyDescent="0.25">
      <c r="A187" s="13" t="s">
        <v>469</v>
      </c>
      <c r="B187" s="10" t="s">
        <v>975</v>
      </c>
      <c r="C187" s="10" t="s">
        <v>1182</v>
      </c>
      <c r="D187" s="10" t="s">
        <v>57</v>
      </c>
      <c r="E187" s="13" t="s">
        <v>831</v>
      </c>
      <c r="F187" s="13" t="s">
        <v>848</v>
      </c>
      <c r="G187" s="13" t="s">
        <v>899</v>
      </c>
      <c r="H187" s="11" t="s">
        <v>65</v>
      </c>
      <c r="I187" s="10" t="s">
        <v>1190</v>
      </c>
      <c r="J187" s="10" t="s">
        <v>1623</v>
      </c>
      <c r="L187" s="13" t="s">
        <v>1647</v>
      </c>
      <c r="M187" s="13" t="s">
        <v>1631</v>
      </c>
      <c r="N187" s="13" t="s">
        <v>1640</v>
      </c>
      <c r="O187" s="13" t="s">
        <v>1647</v>
      </c>
      <c r="P187" s="13" t="s">
        <v>1631</v>
      </c>
      <c r="R187" s="13" t="s">
        <v>1647</v>
      </c>
      <c r="S187" s="13" t="s">
        <v>1631</v>
      </c>
      <c r="U187" s="13" t="s">
        <v>1653</v>
      </c>
      <c r="V187" s="20" t="s">
        <v>1781</v>
      </c>
      <c r="W187" s="13"/>
    </row>
    <row r="188" spans="1:23" ht="75" x14ac:dyDescent="0.25">
      <c r="A188" s="13" t="s">
        <v>470</v>
      </c>
      <c r="B188" s="10" t="s">
        <v>891</v>
      </c>
      <c r="C188" s="10" t="s">
        <v>1182</v>
      </c>
      <c r="D188" s="10" t="s">
        <v>57</v>
      </c>
      <c r="E188" s="13" t="s">
        <v>831</v>
      </c>
      <c r="F188" s="13" t="s">
        <v>847</v>
      </c>
      <c r="G188" s="13" t="s">
        <v>866</v>
      </c>
      <c r="H188" s="11" t="s">
        <v>65</v>
      </c>
      <c r="I188" s="10" t="s">
        <v>1190</v>
      </c>
      <c r="J188" s="10" t="s">
        <v>56</v>
      </c>
      <c r="L188" s="13" t="s">
        <v>1647</v>
      </c>
      <c r="M188" s="13" t="s">
        <v>1631</v>
      </c>
      <c r="N188" s="13" t="s">
        <v>1640</v>
      </c>
      <c r="O188" s="13" t="s">
        <v>1647</v>
      </c>
      <c r="P188" s="13" t="s">
        <v>1631</v>
      </c>
      <c r="R188" s="13" t="s">
        <v>1647</v>
      </c>
      <c r="S188" s="13" t="s">
        <v>1631</v>
      </c>
      <c r="U188" s="13" t="s">
        <v>1647</v>
      </c>
      <c r="V188" s="20" t="s">
        <v>1783</v>
      </c>
      <c r="W188" s="13"/>
    </row>
    <row r="189" spans="1:23" ht="105" x14ac:dyDescent="0.25">
      <c r="A189" s="13" t="s">
        <v>471</v>
      </c>
      <c r="B189" s="10" t="s">
        <v>892</v>
      </c>
      <c r="C189" s="10" t="s">
        <v>1182</v>
      </c>
      <c r="D189" s="10" t="s">
        <v>57</v>
      </c>
      <c r="E189" s="13" t="s">
        <v>831</v>
      </c>
      <c r="F189" s="13" t="s">
        <v>848</v>
      </c>
      <c r="G189" s="13" t="s">
        <v>868</v>
      </c>
      <c r="H189" s="11" t="s">
        <v>65</v>
      </c>
      <c r="I189" s="10" t="s">
        <v>1190</v>
      </c>
      <c r="J189" s="10" t="s">
        <v>893</v>
      </c>
      <c r="L189" s="13" t="s">
        <v>1647</v>
      </c>
      <c r="M189" s="13" t="s">
        <v>1631</v>
      </c>
      <c r="N189" s="13" t="s">
        <v>1640</v>
      </c>
      <c r="O189" s="13" t="s">
        <v>1647</v>
      </c>
      <c r="P189" s="13" t="s">
        <v>1631</v>
      </c>
      <c r="R189" s="13" t="s">
        <v>1647</v>
      </c>
      <c r="S189" s="13" t="s">
        <v>1631</v>
      </c>
      <c r="U189" s="13" t="s">
        <v>1647</v>
      </c>
      <c r="V189" s="20" t="s">
        <v>1784</v>
      </c>
      <c r="W189" s="13"/>
    </row>
    <row r="190" spans="1:23" ht="409.5" x14ac:dyDescent="0.25">
      <c r="A190" s="13" t="s">
        <v>472</v>
      </c>
      <c r="B190" s="10" t="s">
        <v>976</v>
      </c>
      <c r="C190" s="10" t="s">
        <v>1182</v>
      </c>
      <c r="D190" s="10" t="s">
        <v>57</v>
      </c>
      <c r="E190" s="13" t="s">
        <v>861</v>
      </c>
      <c r="F190" s="13" t="s">
        <v>870</v>
      </c>
      <c r="G190" s="13" t="s">
        <v>905</v>
      </c>
      <c r="H190" s="11" t="s">
        <v>65</v>
      </c>
      <c r="I190" s="10" t="s">
        <v>1187</v>
      </c>
      <c r="J190" s="10" t="s">
        <v>871</v>
      </c>
      <c r="L190" s="13" t="s">
        <v>1647</v>
      </c>
      <c r="M190" s="13" t="s">
        <v>1631</v>
      </c>
      <c r="N190" s="13" t="s">
        <v>1640</v>
      </c>
      <c r="O190" s="13" t="s">
        <v>1647</v>
      </c>
      <c r="P190" s="13" t="s">
        <v>1631</v>
      </c>
      <c r="R190" s="13" t="s">
        <v>1647</v>
      </c>
      <c r="S190" s="13" t="s">
        <v>1631</v>
      </c>
      <c r="U190" s="13" t="s">
        <v>1647</v>
      </c>
      <c r="V190" s="13" t="s">
        <v>1631</v>
      </c>
      <c r="W190" s="13" t="s">
        <v>1746</v>
      </c>
    </row>
    <row r="191" spans="1:23" ht="210" x14ac:dyDescent="0.25">
      <c r="A191" s="13" t="s">
        <v>473</v>
      </c>
      <c r="B191" s="10" t="s">
        <v>977</v>
      </c>
      <c r="C191" s="10" t="s">
        <v>1182</v>
      </c>
      <c r="D191" s="10" t="s">
        <v>57</v>
      </c>
      <c r="E191" s="13" t="s">
        <v>831</v>
      </c>
      <c r="F191" s="13" t="s">
        <v>872</v>
      </c>
      <c r="G191" s="13" t="s">
        <v>922</v>
      </c>
      <c r="H191" s="11" t="s">
        <v>65</v>
      </c>
      <c r="I191" s="10" t="s">
        <v>56</v>
      </c>
      <c r="J191" s="10" t="s">
        <v>1183</v>
      </c>
      <c r="L191" s="13" t="s">
        <v>1647</v>
      </c>
      <c r="M191" s="13" t="s">
        <v>1631</v>
      </c>
      <c r="N191" s="13" t="s">
        <v>1640</v>
      </c>
      <c r="O191" s="13" t="s">
        <v>1647</v>
      </c>
      <c r="P191" s="13" t="s">
        <v>1631</v>
      </c>
      <c r="R191" s="13" t="s">
        <v>1647</v>
      </c>
      <c r="S191" s="13" t="s">
        <v>1631</v>
      </c>
      <c r="U191" s="13" t="s">
        <v>1647</v>
      </c>
      <c r="V191" s="13" t="s">
        <v>1631</v>
      </c>
      <c r="W191" s="13"/>
    </row>
    <row r="192" spans="1:23" ht="180" x14ac:dyDescent="0.25">
      <c r="A192" s="13" t="s">
        <v>474</v>
      </c>
      <c r="B192" s="10" t="s">
        <v>978</v>
      </c>
      <c r="C192" s="10" t="s">
        <v>1182</v>
      </c>
      <c r="D192" s="10" t="s">
        <v>57</v>
      </c>
      <c r="E192" s="13" t="s">
        <v>831</v>
      </c>
      <c r="F192" s="13" t="s">
        <v>870</v>
      </c>
      <c r="G192" s="13" t="s">
        <v>922</v>
      </c>
      <c r="H192" s="11" t="s">
        <v>65</v>
      </c>
      <c r="I192" s="10" t="s">
        <v>56</v>
      </c>
      <c r="J192" s="10" t="s">
        <v>1184</v>
      </c>
      <c r="L192" s="13" t="s">
        <v>1647</v>
      </c>
      <c r="M192" s="13" t="s">
        <v>1631</v>
      </c>
      <c r="N192" s="13" t="s">
        <v>1640</v>
      </c>
      <c r="O192" s="13" t="s">
        <v>1647</v>
      </c>
      <c r="P192" s="13" t="s">
        <v>1631</v>
      </c>
      <c r="R192" s="13" t="s">
        <v>1647</v>
      </c>
      <c r="S192" s="13" t="s">
        <v>1631</v>
      </c>
      <c r="U192" s="13" t="s">
        <v>1647</v>
      </c>
      <c r="V192" s="13" t="s">
        <v>1631</v>
      </c>
      <c r="W192" s="13" t="s">
        <v>1746</v>
      </c>
    </row>
    <row r="193" spans="1:23" ht="165" x14ac:dyDescent="0.25">
      <c r="A193" s="13" t="s">
        <v>475</v>
      </c>
      <c r="B193" s="10" t="s">
        <v>979</v>
      </c>
      <c r="C193" s="10" t="s">
        <v>1182</v>
      </c>
      <c r="D193" s="10" t="s">
        <v>57</v>
      </c>
      <c r="E193" s="13" t="s">
        <v>831</v>
      </c>
      <c r="F193" s="13" t="s">
        <v>879</v>
      </c>
      <c r="G193" s="13" t="s">
        <v>922</v>
      </c>
      <c r="H193" s="11" t="s">
        <v>65</v>
      </c>
      <c r="I193" s="10" t="s">
        <v>1187</v>
      </c>
      <c r="J193" s="10" t="s">
        <v>56</v>
      </c>
      <c r="L193" s="13" t="s">
        <v>1647</v>
      </c>
      <c r="M193" s="13" t="s">
        <v>1631</v>
      </c>
      <c r="N193" s="13" t="s">
        <v>1640</v>
      </c>
      <c r="O193" s="13" t="s">
        <v>1647</v>
      </c>
      <c r="P193" s="13" t="s">
        <v>1631</v>
      </c>
      <c r="R193" s="13" t="s">
        <v>1647</v>
      </c>
      <c r="S193" s="13" t="s">
        <v>1631</v>
      </c>
      <c r="U193" s="13" t="s">
        <v>1647</v>
      </c>
      <c r="V193" s="13" t="s">
        <v>1631</v>
      </c>
      <c r="W193" s="13" t="s">
        <v>1746</v>
      </c>
    </row>
    <row r="194" spans="1:23" ht="165" x14ac:dyDescent="0.25">
      <c r="A194" s="13" t="s">
        <v>476</v>
      </c>
      <c r="B194" s="10" t="s">
        <v>980</v>
      </c>
      <c r="C194" s="10" t="s">
        <v>1182</v>
      </c>
      <c r="D194" s="10" t="s">
        <v>57</v>
      </c>
      <c r="E194" s="13" t="s">
        <v>831</v>
      </c>
      <c r="F194" s="13" t="s">
        <v>880</v>
      </c>
      <c r="G194" s="13" t="s">
        <v>922</v>
      </c>
      <c r="H194" s="11" t="s">
        <v>65</v>
      </c>
      <c r="I194" s="10" t="s">
        <v>1187</v>
      </c>
      <c r="J194" s="10" t="s">
        <v>56</v>
      </c>
      <c r="L194" s="13" t="s">
        <v>1647</v>
      </c>
      <c r="M194" s="13" t="s">
        <v>1631</v>
      </c>
      <c r="N194" s="13" t="s">
        <v>1640</v>
      </c>
      <c r="O194" s="13" t="s">
        <v>1647</v>
      </c>
      <c r="P194" s="13" t="s">
        <v>1631</v>
      </c>
      <c r="R194" s="13" t="s">
        <v>1647</v>
      </c>
      <c r="S194" s="13" t="s">
        <v>1631</v>
      </c>
      <c r="U194" s="13" t="s">
        <v>1647</v>
      </c>
      <c r="V194" s="13" t="s">
        <v>1631</v>
      </c>
      <c r="W194" s="13" t="s">
        <v>1746</v>
      </c>
    </row>
    <row r="195" spans="1:23" ht="135" x14ac:dyDescent="0.25">
      <c r="A195" s="13" t="s">
        <v>477</v>
      </c>
      <c r="B195" s="10" t="s">
        <v>981</v>
      </c>
      <c r="C195" s="10" t="s">
        <v>1182</v>
      </c>
      <c r="D195" s="10" t="s">
        <v>57</v>
      </c>
      <c r="E195" s="13" t="s">
        <v>831</v>
      </c>
      <c r="F195" s="13" t="s">
        <v>881</v>
      </c>
      <c r="G195" s="13" t="s">
        <v>922</v>
      </c>
      <c r="H195" s="11" t="s">
        <v>65</v>
      </c>
      <c r="I195" s="10" t="s">
        <v>1187</v>
      </c>
      <c r="J195" s="10" t="s">
        <v>56</v>
      </c>
      <c r="L195" s="13" t="s">
        <v>1647</v>
      </c>
      <c r="M195" s="13" t="s">
        <v>1631</v>
      </c>
      <c r="N195" s="13" t="s">
        <v>1640</v>
      </c>
      <c r="O195" s="13" t="s">
        <v>1647</v>
      </c>
      <c r="P195" s="13" t="s">
        <v>1631</v>
      </c>
      <c r="R195" s="13" t="s">
        <v>1647</v>
      </c>
      <c r="S195" s="13" t="s">
        <v>1631</v>
      </c>
      <c r="U195" s="13" t="s">
        <v>1647</v>
      </c>
      <c r="V195" s="13" t="s">
        <v>1631</v>
      </c>
      <c r="W195" s="13" t="s">
        <v>1746</v>
      </c>
    </row>
    <row r="196" spans="1:23" ht="135" x14ac:dyDescent="0.25">
      <c r="A196" s="13" t="s">
        <v>478</v>
      </c>
      <c r="B196" s="10" t="s">
        <v>982</v>
      </c>
      <c r="C196" s="10" t="s">
        <v>1182</v>
      </c>
      <c r="D196" s="10" t="s">
        <v>57</v>
      </c>
      <c r="E196" s="13" t="s">
        <v>831</v>
      </c>
      <c r="F196" s="13" t="s">
        <v>882</v>
      </c>
      <c r="G196" s="13" t="s">
        <v>922</v>
      </c>
      <c r="H196" s="11" t="s">
        <v>65</v>
      </c>
      <c r="I196" s="10" t="s">
        <v>1187</v>
      </c>
      <c r="J196" s="10" t="s">
        <v>56</v>
      </c>
      <c r="L196" s="13" t="s">
        <v>1647</v>
      </c>
      <c r="M196" s="13" t="s">
        <v>1631</v>
      </c>
      <c r="N196" s="13" t="s">
        <v>1640</v>
      </c>
      <c r="O196" s="13" t="s">
        <v>1647</v>
      </c>
      <c r="P196" s="13" t="s">
        <v>1631</v>
      </c>
      <c r="R196" s="13" t="s">
        <v>1647</v>
      </c>
      <c r="S196" s="13" t="s">
        <v>1631</v>
      </c>
      <c r="U196" s="13" t="s">
        <v>1647</v>
      </c>
      <c r="V196" s="13" t="s">
        <v>1631</v>
      </c>
      <c r="W196" s="13" t="s">
        <v>1746</v>
      </c>
    </row>
    <row r="197" spans="1:23" ht="180" hidden="1" x14ac:dyDescent="0.25">
      <c r="A197" s="13" t="s">
        <v>479</v>
      </c>
      <c r="B197" s="13" t="s">
        <v>1336</v>
      </c>
      <c r="C197" s="10" t="s">
        <v>1177</v>
      </c>
      <c r="D197" s="10" t="s">
        <v>57</v>
      </c>
      <c r="E197" s="13" t="s">
        <v>1337</v>
      </c>
      <c r="F197" s="13" t="s">
        <v>915</v>
      </c>
      <c r="G197" s="13" t="s">
        <v>1315</v>
      </c>
      <c r="H197" s="11" t="s">
        <v>65</v>
      </c>
      <c r="I197" s="10" t="s">
        <v>1190</v>
      </c>
      <c r="J197" s="10" t="s">
        <v>814</v>
      </c>
      <c r="L197" s="13" t="s">
        <v>1647</v>
      </c>
      <c r="M197" s="13" t="s">
        <v>1632</v>
      </c>
      <c r="N197" s="13" t="s">
        <v>1636</v>
      </c>
      <c r="O197" s="13" t="s">
        <v>1647</v>
      </c>
      <c r="P197" s="13" t="s">
        <v>1631</v>
      </c>
      <c r="Q197" s="13" t="s">
        <v>1681</v>
      </c>
      <c r="R197" s="13" t="s">
        <v>1647</v>
      </c>
      <c r="T197" s="13" t="s">
        <v>1684</v>
      </c>
      <c r="U197" s="13" t="s">
        <v>1647</v>
      </c>
      <c r="V197" s="13" t="s">
        <v>1631</v>
      </c>
      <c r="W197" s="13"/>
    </row>
    <row r="198" spans="1:23" ht="120" hidden="1" x14ac:dyDescent="0.25">
      <c r="A198" s="13" t="s">
        <v>480</v>
      </c>
      <c r="B198" s="10" t="s">
        <v>983</v>
      </c>
      <c r="C198" s="10" t="s">
        <v>1185</v>
      </c>
      <c r="D198" s="10" t="s">
        <v>57</v>
      </c>
      <c r="E198" s="13" t="s">
        <v>842</v>
      </c>
      <c r="F198" s="13" t="s">
        <v>816</v>
      </c>
      <c r="G198" s="13" t="s">
        <v>896</v>
      </c>
      <c r="H198" s="11" t="s">
        <v>65</v>
      </c>
      <c r="I198" s="10" t="s">
        <v>1187</v>
      </c>
      <c r="J198" s="10" t="s">
        <v>56</v>
      </c>
      <c r="L198" s="13" t="s">
        <v>1653</v>
      </c>
      <c r="M198" s="13" t="s">
        <v>1643</v>
      </c>
      <c r="N198" s="13" t="s">
        <v>1642</v>
      </c>
      <c r="O198" s="13" t="s">
        <v>1647</v>
      </c>
      <c r="P198" s="13" t="s">
        <v>1631</v>
      </c>
      <c r="U198" s="13" t="s">
        <v>1647</v>
      </c>
      <c r="V198" s="13" t="s">
        <v>1631</v>
      </c>
      <c r="W198" s="13"/>
    </row>
    <row r="199" spans="1:23" ht="120" hidden="1" x14ac:dyDescent="0.25">
      <c r="A199" s="13" t="s">
        <v>481</v>
      </c>
      <c r="B199" s="10" t="s">
        <v>984</v>
      </c>
      <c r="C199" s="10" t="s">
        <v>1185</v>
      </c>
      <c r="D199" s="10" t="s">
        <v>57</v>
      </c>
      <c r="E199" s="13" t="s">
        <v>843</v>
      </c>
      <c r="F199" s="13" t="s">
        <v>818</v>
      </c>
      <c r="G199" s="13" t="s">
        <v>897</v>
      </c>
      <c r="H199" s="11" t="s">
        <v>65</v>
      </c>
      <c r="I199" s="10" t="s">
        <v>1187</v>
      </c>
      <c r="J199" s="10" t="s">
        <v>56</v>
      </c>
      <c r="L199" s="13" t="s">
        <v>1653</v>
      </c>
      <c r="M199" s="13" t="s">
        <v>1641</v>
      </c>
      <c r="O199" s="13" t="s">
        <v>1647</v>
      </c>
      <c r="P199" s="13" t="s">
        <v>1631</v>
      </c>
      <c r="U199" s="13" t="s">
        <v>1647</v>
      </c>
      <c r="V199" s="13" t="s">
        <v>1631</v>
      </c>
      <c r="W199" s="13"/>
    </row>
    <row r="200" spans="1:23" ht="105" x14ac:dyDescent="0.25">
      <c r="A200" s="13" t="s">
        <v>482</v>
      </c>
      <c r="B200" s="10" t="s">
        <v>1338</v>
      </c>
      <c r="C200" s="10" t="s">
        <v>1182</v>
      </c>
      <c r="D200" s="10" t="s">
        <v>57</v>
      </c>
      <c r="E200" s="13" t="s">
        <v>832</v>
      </c>
      <c r="F200" s="13" t="s">
        <v>1133</v>
      </c>
      <c r="G200" s="13" t="s">
        <v>1199</v>
      </c>
      <c r="H200" s="11" t="s">
        <v>65</v>
      </c>
      <c r="I200" s="10" t="s">
        <v>1187</v>
      </c>
      <c r="J200" s="10" t="s">
        <v>56</v>
      </c>
      <c r="L200" s="13" t="s">
        <v>1647</v>
      </c>
      <c r="M200" s="13" t="s">
        <v>1631</v>
      </c>
      <c r="N200" s="13" t="s">
        <v>1640</v>
      </c>
      <c r="O200" s="13" t="s">
        <v>1647</v>
      </c>
      <c r="P200" s="13" t="s">
        <v>1631</v>
      </c>
      <c r="R200" s="13" t="s">
        <v>1647</v>
      </c>
      <c r="S200" s="13" t="s">
        <v>1631</v>
      </c>
      <c r="U200" s="13" t="s">
        <v>1647</v>
      </c>
      <c r="V200" s="13" t="s">
        <v>1631</v>
      </c>
      <c r="W200" s="13" t="s">
        <v>1706</v>
      </c>
    </row>
    <row r="201" spans="1:23" ht="105" x14ac:dyDescent="0.25">
      <c r="A201" s="13" t="s">
        <v>483</v>
      </c>
      <c r="B201" s="10" t="s">
        <v>1339</v>
      </c>
      <c r="C201" s="10" t="s">
        <v>1182</v>
      </c>
      <c r="D201" s="10" t="s">
        <v>57</v>
      </c>
      <c r="E201" s="13" t="s">
        <v>832</v>
      </c>
      <c r="F201" s="13" t="s">
        <v>1134</v>
      </c>
      <c r="G201" s="13" t="s">
        <v>1201</v>
      </c>
      <c r="H201" s="11" t="s">
        <v>65</v>
      </c>
      <c r="I201" s="10" t="s">
        <v>1187</v>
      </c>
      <c r="J201" s="10" t="s">
        <v>1202</v>
      </c>
      <c r="L201" s="13" t="s">
        <v>1647</v>
      </c>
      <c r="M201" s="13" t="s">
        <v>1631</v>
      </c>
      <c r="N201" s="13" t="s">
        <v>1640</v>
      </c>
      <c r="O201" s="13" t="s">
        <v>1647</v>
      </c>
      <c r="P201" s="13" t="s">
        <v>1631</v>
      </c>
      <c r="R201" s="13" t="s">
        <v>1647</v>
      </c>
      <c r="S201" s="13" t="s">
        <v>1631</v>
      </c>
      <c r="U201" s="13" t="s">
        <v>1647</v>
      </c>
      <c r="V201" s="13" t="s">
        <v>1631</v>
      </c>
      <c r="W201" s="13" t="s">
        <v>1706</v>
      </c>
    </row>
    <row r="202" spans="1:23" ht="105" x14ac:dyDescent="0.25">
      <c r="A202" s="13" t="s">
        <v>484</v>
      </c>
      <c r="B202" s="10" t="s">
        <v>1340</v>
      </c>
      <c r="C202" s="10" t="s">
        <v>1182</v>
      </c>
      <c r="D202" s="10" t="s">
        <v>57</v>
      </c>
      <c r="E202" s="13" t="s">
        <v>832</v>
      </c>
      <c r="F202" s="13" t="s">
        <v>1135</v>
      </c>
      <c r="G202" s="13" t="s">
        <v>1204</v>
      </c>
      <c r="H202" s="11" t="s">
        <v>65</v>
      </c>
      <c r="I202" s="10" t="s">
        <v>1187</v>
      </c>
      <c r="J202" s="10" t="s">
        <v>56</v>
      </c>
      <c r="L202" s="13" t="s">
        <v>1647</v>
      </c>
      <c r="M202" s="13" t="s">
        <v>1631</v>
      </c>
      <c r="N202" s="13" t="s">
        <v>1640</v>
      </c>
      <c r="O202" s="13" t="s">
        <v>1647</v>
      </c>
      <c r="P202" s="13" t="s">
        <v>1631</v>
      </c>
      <c r="R202" s="13" t="s">
        <v>1647</v>
      </c>
      <c r="S202" s="13" t="s">
        <v>1631</v>
      </c>
      <c r="U202" s="13" t="s">
        <v>1647</v>
      </c>
      <c r="V202" s="13" t="s">
        <v>1631</v>
      </c>
      <c r="W202" s="13" t="s">
        <v>1707</v>
      </c>
    </row>
    <row r="203" spans="1:23" ht="105" x14ac:dyDescent="0.25">
      <c r="A203" s="13" t="s">
        <v>485</v>
      </c>
      <c r="B203" s="10" t="s">
        <v>1341</v>
      </c>
      <c r="C203" s="10" t="s">
        <v>1182</v>
      </c>
      <c r="D203" s="10" t="s">
        <v>57</v>
      </c>
      <c r="E203" s="13" t="s">
        <v>832</v>
      </c>
      <c r="F203" s="13" t="s">
        <v>1136</v>
      </c>
      <c r="G203" s="13" t="s">
        <v>1206</v>
      </c>
      <c r="H203" s="11" t="s">
        <v>65</v>
      </c>
      <c r="I203" s="10" t="s">
        <v>1187</v>
      </c>
      <c r="J203" s="10" t="s">
        <v>1207</v>
      </c>
      <c r="L203" s="13" t="s">
        <v>1647</v>
      </c>
      <c r="M203" s="13" t="s">
        <v>1631</v>
      </c>
      <c r="N203" s="13" t="s">
        <v>1640</v>
      </c>
      <c r="O203" s="13" t="s">
        <v>1647</v>
      </c>
      <c r="P203" s="13" t="s">
        <v>1631</v>
      </c>
      <c r="R203" s="13" t="s">
        <v>1647</v>
      </c>
      <c r="S203" s="13" t="s">
        <v>1631</v>
      </c>
      <c r="U203" s="13" t="s">
        <v>1647</v>
      </c>
      <c r="V203" s="13" t="s">
        <v>1631</v>
      </c>
      <c r="W203" s="13" t="s">
        <v>1707</v>
      </c>
    </row>
    <row r="204" spans="1:23" ht="150" x14ac:dyDescent="0.25">
      <c r="A204" s="13" t="s">
        <v>486</v>
      </c>
      <c r="B204" s="10" t="s">
        <v>1342</v>
      </c>
      <c r="C204" s="10" t="s">
        <v>1182</v>
      </c>
      <c r="D204" s="10" t="s">
        <v>57</v>
      </c>
      <c r="E204" s="13" t="s">
        <v>832</v>
      </c>
      <c r="F204" s="13" t="s">
        <v>1240</v>
      </c>
      <c r="G204" s="13" t="s">
        <v>841</v>
      </c>
      <c r="H204" s="11" t="s">
        <v>65</v>
      </c>
      <c r="I204" s="10" t="s">
        <v>1190</v>
      </c>
      <c r="J204" s="10" t="s">
        <v>56</v>
      </c>
      <c r="L204" s="13" t="s">
        <v>1647</v>
      </c>
      <c r="M204" s="13" t="s">
        <v>1631</v>
      </c>
      <c r="N204" s="13" t="s">
        <v>1640</v>
      </c>
      <c r="O204" s="13" t="s">
        <v>1647</v>
      </c>
      <c r="P204" s="13" t="s">
        <v>1631</v>
      </c>
      <c r="R204" s="13" t="s">
        <v>1647</v>
      </c>
      <c r="S204" s="13" t="s">
        <v>1631</v>
      </c>
      <c r="U204" s="13" t="s">
        <v>1653</v>
      </c>
      <c r="V204" s="20" t="s">
        <v>1785</v>
      </c>
      <c r="W204" s="13"/>
    </row>
    <row r="205" spans="1:23" ht="150" x14ac:dyDescent="0.25">
      <c r="A205" s="13" t="s">
        <v>487</v>
      </c>
      <c r="B205" s="10" t="s">
        <v>1343</v>
      </c>
      <c r="C205" s="10" t="s">
        <v>1182</v>
      </c>
      <c r="D205" s="10" t="s">
        <v>57</v>
      </c>
      <c r="E205" s="13" t="s">
        <v>832</v>
      </c>
      <c r="F205" s="13" t="s">
        <v>1322</v>
      </c>
      <c r="G205" s="13" t="s">
        <v>836</v>
      </c>
      <c r="H205" s="11" t="s">
        <v>65</v>
      </c>
      <c r="I205" s="10" t="s">
        <v>56</v>
      </c>
      <c r="J205" s="10" t="s">
        <v>1323</v>
      </c>
      <c r="L205" s="13" t="s">
        <v>1647</v>
      </c>
      <c r="M205" s="13" t="s">
        <v>1631</v>
      </c>
      <c r="N205" s="13" t="s">
        <v>1640</v>
      </c>
      <c r="O205" s="13" t="s">
        <v>1647</v>
      </c>
      <c r="P205" s="13" t="s">
        <v>1631</v>
      </c>
      <c r="R205" s="13" t="s">
        <v>1647</v>
      </c>
      <c r="S205" s="13" t="s">
        <v>1631</v>
      </c>
      <c r="U205" s="13" t="s">
        <v>1653</v>
      </c>
      <c r="V205" s="20" t="s">
        <v>1786</v>
      </c>
      <c r="W205" s="13"/>
    </row>
    <row r="206" spans="1:23" ht="150" x14ac:dyDescent="0.25">
      <c r="A206" s="13" t="s">
        <v>488</v>
      </c>
      <c r="B206" s="10" t="s">
        <v>1344</v>
      </c>
      <c r="C206" s="10" t="s">
        <v>1182</v>
      </c>
      <c r="D206" s="10" t="s">
        <v>57</v>
      </c>
      <c r="E206" s="13" t="s">
        <v>832</v>
      </c>
      <c r="F206" s="13" t="s">
        <v>1325</v>
      </c>
      <c r="G206" s="13" t="s">
        <v>836</v>
      </c>
      <c r="H206" s="11" t="s">
        <v>65</v>
      </c>
      <c r="I206" s="10" t="s">
        <v>56</v>
      </c>
      <c r="J206" s="10" t="s">
        <v>1326</v>
      </c>
      <c r="L206" s="13" t="s">
        <v>1647</v>
      </c>
      <c r="M206" s="13" t="s">
        <v>1631</v>
      </c>
      <c r="N206" s="13" t="s">
        <v>1640</v>
      </c>
      <c r="O206" s="13" t="s">
        <v>1647</v>
      </c>
      <c r="P206" s="13" t="s">
        <v>1631</v>
      </c>
      <c r="R206" s="13" t="s">
        <v>1647</v>
      </c>
      <c r="S206" s="13" t="s">
        <v>1631</v>
      </c>
      <c r="U206" s="13" t="s">
        <v>1653</v>
      </c>
      <c r="V206" s="20" t="s">
        <v>1787</v>
      </c>
      <c r="W206" s="13"/>
    </row>
    <row r="207" spans="1:23" ht="150" x14ac:dyDescent="0.25">
      <c r="A207" s="13" t="s">
        <v>489</v>
      </c>
      <c r="B207" s="10" t="s">
        <v>1345</v>
      </c>
      <c r="C207" s="10" t="s">
        <v>1182</v>
      </c>
      <c r="D207" s="10" t="s">
        <v>57</v>
      </c>
      <c r="E207" s="13" t="s">
        <v>832</v>
      </c>
      <c r="F207" s="13" t="s">
        <v>1328</v>
      </c>
      <c r="G207" s="13" t="s">
        <v>836</v>
      </c>
      <c r="H207" s="11" t="s">
        <v>65</v>
      </c>
      <c r="I207" s="10" t="s">
        <v>56</v>
      </c>
      <c r="J207" s="10" t="s">
        <v>1329</v>
      </c>
      <c r="L207" s="13" t="s">
        <v>1647</v>
      </c>
      <c r="M207" s="13" t="s">
        <v>1631</v>
      </c>
      <c r="N207" s="13" t="s">
        <v>1640</v>
      </c>
      <c r="O207" s="13" t="s">
        <v>1647</v>
      </c>
      <c r="P207" s="13" t="s">
        <v>1631</v>
      </c>
      <c r="R207" s="13" t="s">
        <v>1647</v>
      </c>
      <c r="S207" s="13" t="s">
        <v>1631</v>
      </c>
      <c r="U207" s="13" t="s">
        <v>1653</v>
      </c>
      <c r="V207" s="20" t="s">
        <v>1788</v>
      </c>
      <c r="W207" s="13"/>
    </row>
    <row r="208" spans="1:23" ht="150" x14ac:dyDescent="0.25">
      <c r="A208" s="13" t="s">
        <v>490</v>
      </c>
      <c r="B208" s="10" t="s">
        <v>1346</v>
      </c>
      <c r="C208" s="10" t="s">
        <v>1182</v>
      </c>
      <c r="D208" s="10" t="s">
        <v>57</v>
      </c>
      <c r="E208" s="13" t="s">
        <v>832</v>
      </c>
      <c r="F208" s="13" t="s">
        <v>1331</v>
      </c>
      <c r="G208" s="13" t="s">
        <v>836</v>
      </c>
      <c r="H208" s="11" t="s">
        <v>65</v>
      </c>
      <c r="I208" s="10" t="s">
        <v>56</v>
      </c>
      <c r="J208" s="10" t="s">
        <v>1329</v>
      </c>
      <c r="L208" s="13" t="s">
        <v>1647</v>
      </c>
      <c r="M208" s="13" t="s">
        <v>1631</v>
      </c>
      <c r="N208" s="13" t="s">
        <v>1640</v>
      </c>
      <c r="O208" s="13" t="s">
        <v>1647</v>
      </c>
      <c r="P208" s="13" t="s">
        <v>1631</v>
      </c>
      <c r="R208" s="13" t="s">
        <v>1647</v>
      </c>
      <c r="S208" s="13" t="s">
        <v>1631</v>
      </c>
      <c r="U208" s="13" t="s">
        <v>1653</v>
      </c>
      <c r="V208" s="20" t="s">
        <v>1789</v>
      </c>
      <c r="W208" s="13"/>
    </row>
    <row r="209" spans="1:23" ht="120" x14ac:dyDescent="0.25">
      <c r="A209" s="13" t="s">
        <v>491</v>
      </c>
      <c r="B209" s="10" t="s">
        <v>1347</v>
      </c>
      <c r="C209" s="10" t="s">
        <v>1182</v>
      </c>
      <c r="D209" s="10" t="s">
        <v>57</v>
      </c>
      <c r="E209" s="13" t="s">
        <v>832</v>
      </c>
      <c r="F209" s="13" t="s">
        <v>1333</v>
      </c>
      <c r="G209" s="13" t="s">
        <v>836</v>
      </c>
      <c r="H209" s="11" t="s">
        <v>65</v>
      </c>
      <c r="I209" s="10" t="s">
        <v>1190</v>
      </c>
      <c r="J209" s="10" t="s">
        <v>56</v>
      </c>
      <c r="L209" s="13" t="s">
        <v>1647</v>
      </c>
      <c r="M209" s="13" t="s">
        <v>1631</v>
      </c>
      <c r="N209" s="13" t="s">
        <v>1640</v>
      </c>
      <c r="O209" s="13" t="s">
        <v>1647</v>
      </c>
      <c r="P209" s="13" t="s">
        <v>1631</v>
      </c>
      <c r="R209" s="13" t="s">
        <v>1647</v>
      </c>
      <c r="S209" s="13" t="s">
        <v>1631</v>
      </c>
      <c r="U209" s="13" t="s">
        <v>1647</v>
      </c>
      <c r="V209" s="13" t="s">
        <v>1631</v>
      </c>
      <c r="W209" s="13"/>
    </row>
    <row r="210" spans="1:23" ht="120" x14ac:dyDescent="0.25">
      <c r="A210" s="13" t="s">
        <v>492</v>
      </c>
      <c r="B210" s="10" t="s">
        <v>1348</v>
      </c>
      <c r="C210" s="10" t="s">
        <v>1182</v>
      </c>
      <c r="D210" s="10" t="s">
        <v>57</v>
      </c>
      <c r="E210" s="13" t="s">
        <v>832</v>
      </c>
      <c r="F210" s="13" t="s">
        <v>1335</v>
      </c>
      <c r="G210" s="13" t="s">
        <v>836</v>
      </c>
      <c r="H210" s="11" t="s">
        <v>65</v>
      </c>
      <c r="I210" s="10" t="s">
        <v>1190</v>
      </c>
      <c r="J210" s="10" t="s">
        <v>56</v>
      </c>
      <c r="L210" s="13" t="s">
        <v>1647</v>
      </c>
      <c r="M210" s="13" t="s">
        <v>1631</v>
      </c>
      <c r="N210" s="13" t="s">
        <v>1640</v>
      </c>
      <c r="O210" s="13" t="s">
        <v>1647</v>
      </c>
      <c r="P210" s="13" t="s">
        <v>1631</v>
      </c>
      <c r="R210" s="13" t="s">
        <v>1647</v>
      </c>
      <c r="S210" s="13" t="s">
        <v>1631</v>
      </c>
      <c r="U210" s="13" t="s">
        <v>1647</v>
      </c>
      <c r="V210" s="13" t="s">
        <v>1631</v>
      </c>
      <c r="W210" s="13"/>
    </row>
    <row r="211" spans="1:23" ht="105" x14ac:dyDescent="0.25">
      <c r="A211" s="13" t="s">
        <v>493</v>
      </c>
      <c r="B211" s="10" t="s">
        <v>1018</v>
      </c>
      <c r="C211" s="10" t="s">
        <v>1182</v>
      </c>
      <c r="D211" s="10" t="s">
        <v>57</v>
      </c>
      <c r="E211" s="13" t="s">
        <v>1019</v>
      </c>
      <c r="F211" s="13" t="s">
        <v>110</v>
      </c>
      <c r="G211" s="13" t="s">
        <v>852</v>
      </c>
      <c r="H211" s="11" t="s">
        <v>65</v>
      </c>
      <c r="I211" s="10" t="s">
        <v>1191</v>
      </c>
      <c r="J211" s="10" t="s">
        <v>56</v>
      </c>
      <c r="L211" s="13" t="s">
        <v>1647</v>
      </c>
      <c r="M211" s="13" t="s">
        <v>1631</v>
      </c>
      <c r="N211" s="13" t="s">
        <v>1640</v>
      </c>
      <c r="O211" s="13" t="s">
        <v>1647</v>
      </c>
      <c r="P211" s="13" t="s">
        <v>1631</v>
      </c>
      <c r="R211" s="13" t="s">
        <v>1647</v>
      </c>
      <c r="S211" s="13" t="s">
        <v>1631</v>
      </c>
      <c r="U211" s="13" t="s">
        <v>1647</v>
      </c>
      <c r="V211" s="13" t="s">
        <v>1631</v>
      </c>
      <c r="W211" s="13" t="s">
        <v>1790</v>
      </c>
    </row>
    <row r="212" spans="1:23" ht="105" x14ac:dyDescent="0.25">
      <c r="A212" s="13" t="s">
        <v>494</v>
      </c>
      <c r="B212" s="10" t="s">
        <v>1020</v>
      </c>
      <c r="C212" s="10" t="s">
        <v>1182</v>
      </c>
      <c r="D212" s="10" t="s">
        <v>57</v>
      </c>
      <c r="E212" s="13" t="s">
        <v>1021</v>
      </c>
      <c r="F212" s="13" t="s">
        <v>110</v>
      </c>
      <c r="G212" s="13" t="s">
        <v>853</v>
      </c>
      <c r="H212" s="11" t="s">
        <v>65</v>
      </c>
      <c r="I212" s="10" t="s">
        <v>1193</v>
      </c>
      <c r="J212" s="10" t="s">
        <v>56</v>
      </c>
      <c r="L212" s="13" t="s">
        <v>1647</v>
      </c>
      <c r="M212" s="13" t="s">
        <v>1631</v>
      </c>
      <c r="N212" s="13" t="s">
        <v>1640</v>
      </c>
      <c r="O212" s="13" t="s">
        <v>1647</v>
      </c>
      <c r="P212" s="13" t="s">
        <v>1631</v>
      </c>
      <c r="R212" s="13" t="s">
        <v>1647</v>
      </c>
      <c r="S212" s="13" t="s">
        <v>1631</v>
      </c>
      <c r="U212" s="13" t="s">
        <v>1647</v>
      </c>
      <c r="V212" s="13" t="s">
        <v>1631</v>
      </c>
      <c r="W212" s="13" t="s">
        <v>1791</v>
      </c>
    </row>
    <row r="213" spans="1:23" ht="90" x14ac:dyDescent="0.25">
      <c r="A213" s="13" t="s">
        <v>495</v>
      </c>
      <c r="B213" s="10" t="s">
        <v>985</v>
      </c>
      <c r="C213" s="10" t="s">
        <v>1182</v>
      </c>
      <c r="D213" s="10" t="s">
        <v>57</v>
      </c>
      <c r="E213" s="13" t="s">
        <v>832</v>
      </c>
      <c r="F213" s="13" t="s">
        <v>847</v>
      </c>
      <c r="G213" s="13" t="s">
        <v>898</v>
      </c>
      <c r="H213" s="11" t="s">
        <v>65</v>
      </c>
      <c r="I213" s="10" t="s">
        <v>1187</v>
      </c>
      <c r="J213" s="10" t="s">
        <v>1619</v>
      </c>
      <c r="L213" s="13" t="s">
        <v>1647</v>
      </c>
      <c r="M213" s="13" t="s">
        <v>1631</v>
      </c>
      <c r="N213" s="13" t="s">
        <v>1640</v>
      </c>
      <c r="O213" s="13" t="s">
        <v>1647</v>
      </c>
      <c r="P213" s="13" t="s">
        <v>1631</v>
      </c>
      <c r="R213" s="13" t="s">
        <v>1647</v>
      </c>
      <c r="S213" s="13" t="s">
        <v>1631</v>
      </c>
      <c r="U213" s="13" t="s">
        <v>1653</v>
      </c>
      <c r="V213" s="20" t="s">
        <v>1792</v>
      </c>
      <c r="W213" s="13"/>
    </row>
    <row r="214" spans="1:23" ht="195" x14ac:dyDescent="0.25">
      <c r="A214" s="13" t="s">
        <v>496</v>
      </c>
      <c r="B214" s="10" t="s">
        <v>986</v>
      </c>
      <c r="C214" s="10" t="s">
        <v>1182</v>
      </c>
      <c r="D214" s="10" t="s">
        <v>57</v>
      </c>
      <c r="E214" s="13" t="s">
        <v>832</v>
      </c>
      <c r="F214" s="13" t="s">
        <v>848</v>
      </c>
      <c r="G214" s="13" t="s">
        <v>899</v>
      </c>
      <c r="H214" s="11" t="s">
        <v>65</v>
      </c>
      <c r="I214" s="10" t="s">
        <v>1190</v>
      </c>
      <c r="J214" s="10" t="s">
        <v>1623</v>
      </c>
      <c r="L214" s="13" t="s">
        <v>1647</v>
      </c>
      <c r="M214" s="13" t="s">
        <v>1631</v>
      </c>
      <c r="N214" s="13" t="s">
        <v>1640</v>
      </c>
      <c r="O214" s="13" t="s">
        <v>1647</v>
      </c>
      <c r="P214" s="13" t="s">
        <v>1631</v>
      </c>
      <c r="R214" s="13" t="s">
        <v>1647</v>
      </c>
      <c r="S214" s="13" t="s">
        <v>1631</v>
      </c>
      <c r="U214" s="13" t="s">
        <v>1653</v>
      </c>
      <c r="V214" s="20" t="s">
        <v>1793</v>
      </c>
      <c r="W214" s="13"/>
    </row>
    <row r="215" spans="1:23" ht="75" x14ac:dyDescent="0.25">
      <c r="A215" s="13" t="s">
        <v>497</v>
      </c>
      <c r="B215" s="10" t="s">
        <v>894</v>
      </c>
      <c r="C215" s="10" t="s">
        <v>1182</v>
      </c>
      <c r="D215" s="10" t="s">
        <v>57</v>
      </c>
      <c r="E215" s="13" t="s">
        <v>832</v>
      </c>
      <c r="F215" s="13" t="s">
        <v>847</v>
      </c>
      <c r="G215" s="13" t="s">
        <v>866</v>
      </c>
      <c r="H215" s="11" t="s">
        <v>65</v>
      </c>
      <c r="I215" s="10" t="s">
        <v>1190</v>
      </c>
      <c r="J215" s="10" t="s">
        <v>56</v>
      </c>
      <c r="L215" s="13" t="s">
        <v>1647</v>
      </c>
      <c r="M215" s="13" t="s">
        <v>1631</v>
      </c>
      <c r="N215" s="13" t="s">
        <v>1640</v>
      </c>
      <c r="O215" s="13" t="s">
        <v>1647</v>
      </c>
      <c r="P215" s="13" t="s">
        <v>1631</v>
      </c>
      <c r="R215" s="13" t="s">
        <v>1647</v>
      </c>
      <c r="S215" s="13" t="s">
        <v>1631</v>
      </c>
      <c r="U215" s="13" t="s">
        <v>1647</v>
      </c>
      <c r="V215" s="20" t="s">
        <v>1794</v>
      </c>
      <c r="W215" s="13"/>
    </row>
    <row r="216" spans="1:23" ht="105" x14ac:dyDescent="0.25">
      <c r="A216" s="13" t="s">
        <v>498</v>
      </c>
      <c r="B216" s="10" t="s">
        <v>895</v>
      </c>
      <c r="C216" s="10" t="s">
        <v>1182</v>
      </c>
      <c r="D216" s="10" t="s">
        <v>57</v>
      </c>
      <c r="E216" s="13" t="s">
        <v>832</v>
      </c>
      <c r="F216" s="13" t="s">
        <v>848</v>
      </c>
      <c r="G216" s="13" t="s">
        <v>868</v>
      </c>
      <c r="H216" s="11" t="s">
        <v>65</v>
      </c>
      <c r="I216" s="10" t="s">
        <v>1190</v>
      </c>
      <c r="J216" s="10" t="s">
        <v>893</v>
      </c>
      <c r="L216" s="13" t="s">
        <v>1647</v>
      </c>
      <c r="M216" s="13" t="s">
        <v>1631</v>
      </c>
      <c r="N216" s="13" t="s">
        <v>1640</v>
      </c>
      <c r="O216" s="13" t="s">
        <v>1647</v>
      </c>
      <c r="P216" s="13" t="s">
        <v>1631</v>
      </c>
      <c r="R216" s="13" t="s">
        <v>1647</v>
      </c>
      <c r="S216" s="13" t="s">
        <v>1631</v>
      </c>
      <c r="U216" s="13" t="s">
        <v>1647</v>
      </c>
      <c r="V216" s="20" t="s">
        <v>1795</v>
      </c>
      <c r="W216" s="13"/>
    </row>
    <row r="217" spans="1:23" ht="409.5" x14ac:dyDescent="0.25">
      <c r="A217" s="13" t="s">
        <v>499</v>
      </c>
      <c r="B217" s="10" t="s">
        <v>987</v>
      </c>
      <c r="C217" s="10" t="s">
        <v>1182</v>
      </c>
      <c r="D217" s="10" t="s">
        <v>57</v>
      </c>
      <c r="E217" s="13" t="s">
        <v>862</v>
      </c>
      <c r="F217" s="13" t="s">
        <v>870</v>
      </c>
      <c r="G217" s="13" t="s">
        <v>906</v>
      </c>
      <c r="H217" s="11" t="s">
        <v>65</v>
      </c>
      <c r="I217" s="10" t="s">
        <v>1188</v>
      </c>
      <c r="J217" s="10" t="s">
        <v>871</v>
      </c>
      <c r="L217" s="13" t="s">
        <v>1647</v>
      </c>
      <c r="M217" s="13" t="s">
        <v>1631</v>
      </c>
      <c r="N217" s="13" t="s">
        <v>1640</v>
      </c>
      <c r="O217" s="13" t="s">
        <v>1647</v>
      </c>
      <c r="P217" s="13" t="s">
        <v>1631</v>
      </c>
      <c r="R217" s="13" t="s">
        <v>1647</v>
      </c>
      <c r="S217" s="13" t="s">
        <v>1631</v>
      </c>
      <c r="U217" s="13" t="s">
        <v>1647</v>
      </c>
      <c r="V217" s="13" t="s">
        <v>1631</v>
      </c>
      <c r="W217" s="13" t="s">
        <v>1796</v>
      </c>
    </row>
    <row r="218" spans="1:23" ht="210" x14ac:dyDescent="0.25">
      <c r="A218" s="13" t="s">
        <v>500</v>
      </c>
      <c r="B218" s="10" t="s">
        <v>988</v>
      </c>
      <c r="C218" s="10" t="s">
        <v>1182</v>
      </c>
      <c r="D218" s="10" t="s">
        <v>57</v>
      </c>
      <c r="E218" s="13" t="s">
        <v>832</v>
      </c>
      <c r="F218" s="13" t="s">
        <v>872</v>
      </c>
      <c r="G218" s="13" t="s">
        <v>922</v>
      </c>
      <c r="H218" s="11" t="s">
        <v>65</v>
      </c>
      <c r="I218" s="10" t="s">
        <v>56</v>
      </c>
      <c r="J218" s="10" t="s">
        <v>1183</v>
      </c>
      <c r="L218" s="13" t="s">
        <v>1647</v>
      </c>
      <c r="M218" s="13" t="s">
        <v>1631</v>
      </c>
      <c r="N218" s="13" t="s">
        <v>1640</v>
      </c>
      <c r="O218" s="13" t="s">
        <v>1647</v>
      </c>
      <c r="P218" s="13" t="s">
        <v>1631</v>
      </c>
      <c r="R218" s="13" t="s">
        <v>1647</v>
      </c>
      <c r="S218" s="13" t="s">
        <v>1631</v>
      </c>
      <c r="U218" s="13" t="s">
        <v>1647</v>
      </c>
      <c r="V218" s="13" t="s">
        <v>1631</v>
      </c>
      <c r="W218" s="13" t="s">
        <v>1796</v>
      </c>
    </row>
    <row r="219" spans="1:23" ht="180" x14ac:dyDescent="0.25">
      <c r="A219" s="13" t="s">
        <v>501</v>
      </c>
      <c r="B219" s="10" t="s">
        <v>989</v>
      </c>
      <c r="C219" s="10" t="s">
        <v>1182</v>
      </c>
      <c r="D219" s="10" t="s">
        <v>57</v>
      </c>
      <c r="E219" s="13" t="s">
        <v>832</v>
      </c>
      <c r="F219" s="13" t="s">
        <v>870</v>
      </c>
      <c r="G219" s="13" t="s">
        <v>922</v>
      </c>
      <c r="H219" s="11" t="s">
        <v>65</v>
      </c>
      <c r="I219" s="10" t="s">
        <v>56</v>
      </c>
      <c r="J219" s="10" t="s">
        <v>1184</v>
      </c>
      <c r="L219" s="13" t="s">
        <v>1647</v>
      </c>
      <c r="M219" s="13" t="s">
        <v>1631</v>
      </c>
      <c r="N219" s="13" t="s">
        <v>1640</v>
      </c>
      <c r="O219" s="13" t="s">
        <v>1647</v>
      </c>
      <c r="P219" s="13" t="s">
        <v>1631</v>
      </c>
      <c r="R219" s="13" t="s">
        <v>1647</v>
      </c>
      <c r="S219" s="13" t="s">
        <v>1631</v>
      </c>
      <c r="U219" s="13" t="s">
        <v>1647</v>
      </c>
      <c r="V219" s="13" t="s">
        <v>1631</v>
      </c>
      <c r="W219" s="13" t="s">
        <v>1796</v>
      </c>
    </row>
    <row r="220" spans="1:23" ht="165" x14ac:dyDescent="0.25">
      <c r="A220" s="13" t="s">
        <v>502</v>
      </c>
      <c r="B220" s="10" t="s">
        <v>990</v>
      </c>
      <c r="C220" s="10" t="s">
        <v>1182</v>
      </c>
      <c r="D220" s="10" t="s">
        <v>57</v>
      </c>
      <c r="E220" s="13" t="s">
        <v>832</v>
      </c>
      <c r="F220" s="13" t="s">
        <v>879</v>
      </c>
      <c r="G220" s="13" t="s">
        <v>922</v>
      </c>
      <c r="H220" s="11" t="s">
        <v>65</v>
      </c>
      <c r="I220" s="10" t="s">
        <v>1187</v>
      </c>
      <c r="J220" s="10" t="s">
        <v>56</v>
      </c>
      <c r="L220" s="13" t="s">
        <v>1647</v>
      </c>
      <c r="M220" s="13" t="s">
        <v>1631</v>
      </c>
      <c r="N220" s="13" t="s">
        <v>1640</v>
      </c>
      <c r="O220" s="13" t="s">
        <v>1647</v>
      </c>
      <c r="P220" s="13" t="s">
        <v>1631</v>
      </c>
      <c r="R220" s="13" t="s">
        <v>1647</v>
      </c>
      <c r="S220" s="13" t="s">
        <v>1631</v>
      </c>
      <c r="U220" s="13" t="s">
        <v>1647</v>
      </c>
      <c r="V220" s="13" t="s">
        <v>1631</v>
      </c>
      <c r="W220" s="13" t="s">
        <v>1796</v>
      </c>
    </row>
    <row r="221" spans="1:23" ht="165" x14ac:dyDescent="0.25">
      <c r="A221" s="13" t="s">
        <v>503</v>
      </c>
      <c r="B221" s="10" t="s">
        <v>991</v>
      </c>
      <c r="C221" s="10" t="s">
        <v>1182</v>
      </c>
      <c r="D221" s="10" t="s">
        <v>57</v>
      </c>
      <c r="E221" s="13" t="s">
        <v>832</v>
      </c>
      <c r="F221" s="13" t="s">
        <v>880</v>
      </c>
      <c r="G221" s="13" t="s">
        <v>922</v>
      </c>
      <c r="H221" s="11" t="s">
        <v>65</v>
      </c>
      <c r="I221" s="10" t="s">
        <v>1187</v>
      </c>
      <c r="J221" s="10" t="s">
        <v>56</v>
      </c>
      <c r="L221" s="13" t="s">
        <v>1647</v>
      </c>
      <c r="M221" s="13" t="s">
        <v>1631</v>
      </c>
      <c r="N221" s="13" t="s">
        <v>1640</v>
      </c>
      <c r="O221" s="13" t="s">
        <v>1647</v>
      </c>
      <c r="P221" s="13" t="s">
        <v>1631</v>
      </c>
      <c r="R221" s="13" t="s">
        <v>1647</v>
      </c>
      <c r="S221" s="13" t="s">
        <v>1631</v>
      </c>
      <c r="U221" s="13" t="s">
        <v>1647</v>
      </c>
      <c r="V221" s="13" t="s">
        <v>1631</v>
      </c>
      <c r="W221" s="13" t="s">
        <v>1796</v>
      </c>
    </row>
    <row r="222" spans="1:23" ht="135" x14ac:dyDescent="0.25">
      <c r="A222" s="13" t="s">
        <v>504</v>
      </c>
      <c r="B222" s="10" t="s">
        <v>992</v>
      </c>
      <c r="C222" s="10" t="s">
        <v>1182</v>
      </c>
      <c r="D222" s="10" t="s">
        <v>57</v>
      </c>
      <c r="E222" s="13" t="s">
        <v>832</v>
      </c>
      <c r="F222" s="13" t="s">
        <v>881</v>
      </c>
      <c r="G222" s="13" t="s">
        <v>922</v>
      </c>
      <c r="H222" s="11" t="s">
        <v>65</v>
      </c>
      <c r="I222" s="10" t="s">
        <v>1187</v>
      </c>
      <c r="J222" s="10" t="s">
        <v>56</v>
      </c>
      <c r="L222" s="13" t="s">
        <v>1647</v>
      </c>
      <c r="M222" s="13" t="s">
        <v>1631</v>
      </c>
      <c r="N222" s="13" t="s">
        <v>1640</v>
      </c>
      <c r="O222" s="13" t="s">
        <v>1647</v>
      </c>
      <c r="P222" s="13" t="s">
        <v>1631</v>
      </c>
      <c r="R222" s="13" t="s">
        <v>1647</v>
      </c>
      <c r="S222" s="13" t="s">
        <v>1631</v>
      </c>
      <c r="U222" s="13" t="s">
        <v>1647</v>
      </c>
      <c r="V222" s="13" t="s">
        <v>1631</v>
      </c>
      <c r="W222" s="13" t="s">
        <v>1796</v>
      </c>
    </row>
    <row r="223" spans="1:23" ht="135" x14ac:dyDescent="0.25">
      <c r="A223" s="13" t="s">
        <v>505</v>
      </c>
      <c r="B223" s="10" t="s">
        <v>993</v>
      </c>
      <c r="C223" s="10" t="s">
        <v>1182</v>
      </c>
      <c r="D223" s="10" t="s">
        <v>57</v>
      </c>
      <c r="E223" s="13" t="s">
        <v>832</v>
      </c>
      <c r="F223" s="13" t="s">
        <v>882</v>
      </c>
      <c r="G223" s="13" t="s">
        <v>922</v>
      </c>
      <c r="H223" s="11" t="s">
        <v>65</v>
      </c>
      <c r="I223" s="10" t="s">
        <v>1187</v>
      </c>
      <c r="J223" s="10" t="s">
        <v>56</v>
      </c>
      <c r="L223" s="13" t="s">
        <v>1647</v>
      </c>
      <c r="M223" s="13" t="s">
        <v>1631</v>
      </c>
      <c r="N223" s="13" t="s">
        <v>1640</v>
      </c>
      <c r="O223" s="13" t="s">
        <v>1647</v>
      </c>
      <c r="P223" s="13" t="s">
        <v>1631</v>
      </c>
      <c r="R223" s="13" t="s">
        <v>1647</v>
      </c>
      <c r="S223" s="13" t="s">
        <v>1631</v>
      </c>
      <c r="U223" s="13" t="s">
        <v>1647</v>
      </c>
      <c r="V223" s="13" t="s">
        <v>1631</v>
      </c>
      <c r="W223" s="13" t="s">
        <v>1796</v>
      </c>
    </row>
    <row r="224" spans="1:23" ht="120" x14ac:dyDescent="0.25">
      <c r="A224" s="10" t="s">
        <v>506</v>
      </c>
      <c r="B224" s="13" t="s">
        <v>1349</v>
      </c>
      <c r="C224" s="10" t="s">
        <v>1182</v>
      </c>
      <c r="D224" s="10" t="s">
        <v>57</v>
      </c>
      <c r="E224" s="13" t="s">
        <v>1022</v>
      </c>
      <c r="F224" s="13" t="s">
        <v>1139</v>
      </c>
      <c r="G224" s="13" t="s">
        <v>1350</v>
      </c>
      <c r="H224" s="11" t="s">
        <v>65</v>
      </c>
      <c r="I224" s="10" t="s">
        <v>1190</v>
      </c>
      <c r="J224" s="10" t="s">
        <v>1351</v>
      </c>
      <c r="L224" s="13" t="s">
        <v>1647</v>
      </c>
      <c r="M224" s="13" t="s">
        <v>1631</v>
      </c>
      <c r="N224" s="13" t="s">
        <v>1640</v>
      </c>
      <c r="O224" s="13" t="s">
        <v>1647</v>
      </c>
      <c r="P224" s="13" t="s">
        <v>1631</v>
      </c>
      <c r="R224" s="13" t="s">
        <v>1647</v>
      </c>
      <c r="S224" s="13" t="s">
        <v>1631</v>
      </c>
      <c r="U224" s="13" t="s">
        <v>1647</v>
      </c>
      <c r="V224" s="13" t="s">
        <v>1631</v>
      </c>
      <c r="W224" s="13" t="s">
        <v>1797</v>
      </c>
    </row>
    <row r="225" spans="1:23" ht="120" x14ac:dyDescent="0.25">
      <c r="A225" s="13" t="s">
        <v>507</v>
      </c>
      <c r="B225" s="13" t="s">
        <v>1352</v>
      </c>
      <c r="C225" s="10" t="s">
        <v>1182</v>
      </c>
      <c r="D225" s="10" t="s">
        <v>57</v>
      </c>
      <c r="E225" s="13" t="s">
        <v>1022</v>
      </c>
      <c r="F225" s="13" t="s">
        <v>1140</v>
      </c>
      <c r="G225" s="13" t="s">
        <v>1353</v>
      </c>
      <c r="H225" s="11" t="s">
        <v>65</v>
      </c>
      <c r="I225" s="10" t="s">
        <v>1190</v>
      </c>
      <c r="J225" s="10" t="s">
        <v>1351</v>
      </c>
      <c r="L225" s="13" t="s">
        <v>1647</v>
      </c>
      <c r="M225" s="13" t="s">
        <v>1631</v>
      </c>
      <c r="N225" s="13" t="s">
        <v>1640</v>
      </c>
      <c r="O225" s="13" t="s">
        <v>1647</v>
      </c>
      <c r="P225" s="13" t="s">
        <v>1631</v>
      </c>
      <c r="R225" s="13" t="s">
        <v>1647</v>
      </c>
      <c r="S225" s="13" t="s">
        <v>1631</v>
      </c>
      <c r="U225" s="13" t="s">
        <v>1647</v>
      </c>
      <c r="V225" s="13" t="s">
        <v>1631</v>
      </c>
      <c r="W225" s="13" t="s">
        <v>1797</v>
      </c>
    </row>
    <row r="226" spans="1:23" ht="120" x14ac:dyDescent="0.25">
      <c r="A226" s="13" t="s">
        <v>508</v>
      </c>
      <c r="B226" s="13" t="s">
        <v>1354</v>
      </c>
      <c r="C226" s="10" t="s">
        <v>1182</v>
      </c>
      <c r="D226" s="10" t="s">
        <v>57</v>
      </c>
      <c r="E226" s="13" t="s">
        <v>1022</v>
      </c>
      <c r="F226" s="13" t="s">
        <v>1141</v>
      </c>
      <c r="G226" s="13" t="s">
        <v>1355</v>
      </c>
      <c r="H226" s="11" t="s">
        <v>65</v>
      </c>
      <c r="I226" s="10" t="s">
        <v>1190</v>
      </c>
      <c r="J226" s="10" t="s">
        <v>1356</v>
      </c>
      <c r="L226" s="13" t="s">
        <v>1647</v>
      </c>
      <c r="M226" s="13" t="s">
        <v>1631</v>
      </c>
      <c r="N226" s="13" t="s">
        <v>1640</v>
      </c>
      <c r="O226" s="13" t="s">
        <v>1647</v>
      </c>
      <c r="P226" s="13" t="s">
        <v>1631</v>
      </c>
      <c r="R226" s="13" t="s">
        <v>1647</v>
      </c>
      <c r="S226" s="13" t="s">
        <v>1631</v>
      </c>
      <c r="U226" s="13" t="s">
        <v>1647</v>
      </c>
      <c r="V226" s="13" t="s">
        <v>1631</v>
      </c>
      <c r="W226" s="13" t="s">
        <v>1797</v>
      </c>
    </row>
    <row r="227" spans="1:23" ht="120" x14ac:dyDescent="0.25">
      <c r="A227" s="13" t="s">
        <v>509</v>
      </c>
      <c r="B227" s="13" t="s">
        <v>1357</v>
      </c>
      <c r="C227" s="10" t="s">
        <v>1182</v>
      </c>
      <c r="D227" s="10" t="s">
        <v>57</v>
      </c>
      <c r="E227" s="13" t="s">
        <v>1022</v>
      </c>
      <c r="F227" s="13" t="s">
        <v>1142</v>
      </c>
      <c r="G227" s="13" t="s">
        <v>1358</v>
      </c>
      <c r="H227" s="11" t="s">
        <v>65</v>
      </c>
      <c r="I227" s="10" t="s">
        <v>1190</v>
      </c>
      <c r="J227" s="10" t="s">
        <v>1356</v>
      </c>
      <c r="L227" s="13" t="s">
        <v>1647</v>
      </c>
      <c r="M227" s="13" t="s">
        <v>1631</v>
      </c>
      <c r="N227" s="13" t="s">
        <v>1640</v>
      </c>
      <c r="O227" s="13" t="s">
        <v>1647</v>
      </c>
      <c r="P227" s="13" t="s">
        <v>1631</v>
      </c>
      <c r="R227" s="13" t="s">
        <v>1647</v>
      </c>
      <c r="S227" s="13" t="s">
        <v>1631</v>
      </c>
      <c r="U227" s="13" t="s">
        <v>1647</v>
      </c>
      <c r="V227" s="13" t="s">
        <v>1631</v>
      </c>
      <c r="W227" s="13" t="s">
        <v>1797</v>
      </c>
    </row>
    <row r="228" spans="1:23" ht="120" x14ac:dyDescent="0.25">
      <c r="A228" s="13" t="s">
        <v>510</v>
      </c>
      <c r="B228" s="13" t="s">
        <v>1359</v>
      </c>
      <c r="C228" s="10" t="s">
        <v>1182</v>
      </c>
      <c r="D228" s="10" t="s">
        <v>57</v>
      </c>
      <c r="E228" s="13" t="s">
        <v>1022</v>
      </c>
      <c r="F228" s="13" t="s">
        <v>1143</v>
      </c>
      <c r="G228" s="13" t="s">
        <v>1360</v>
      </c>
      <c r="H228" s="11" t="s">
        <v>65</v>
      </c>
      <c r="I228" s="10" t="s">
        <v>1190</v>
      </c>
      <c r="J228" s="10" t="s">
        <v>1361</v>
      </c>
      <c r="L228" s="13" t="s">
        <v>1647</v>
      </c>
      <c r="M228" s="13" t="s">
        <v>1631</v>
      </c>
      <c r="N228" s="13" t="s">
        <v>1640</v>
      </c>
      <c r="O228" s="13" t="s">
        <v>1647</v>
      </c>
      <c r="P228" s="13" t="s">
        <v>1631</v>
      </c>
      <c r="R228" s="13" t="s">
        <v>1647</v>
      </c>
      <c r="S228" s="13" t="s">
        <v>1631</v>
      </c>
      <c r="U228" s="13" t="s">
        <v>1647</v>
      </c>
      <c r="V228" s="13" t="s">
        <v>1631</v>
      </c>
      <c r="W228" s="13" t="s">
        <v>1797</v>
      </c>
    </row>
    <row r="229" spans="1:23" ht="120" x14ac:dyDescent="0.25">
      <c r="A229" s="13" t="s">
        <v>511</v>
      </c>
      <c r="B229" s="13" t="s">
        <v>1362</v>
      </c>
      <c r="C229" s="10" t="s">
        <v>1182</v>
      </c>
      <c r="D229" s="10" t="s">
        <v>57</v>
      </c>
      <c r="E229" s="13" t="s">
        <v>1022</v>
      </c>
      <c r="F229" s="13" t="s">
        <v>1144</v>
      </c>
      <c r="G229" s="13" t="s">
        <v>1363</v>
      </c>
      <c r="H229" s="11" t="s">
        <v>65</v>
      </c>
      <c r="I229" s="10" t="s">
        <v>1190</v>
      </c>
      <c r="J229" s="10" t="s">
        <v>1361</v>
      </c>
      <c r="L229" s="13" t="s">
        <v>1647</v>
      </c>
      <c r="M229" s="13" t="s">
        <v>1631</v>
      </c>
      <c r="N229" s="13" t="s">
        <v>1640</v>
      </c>
      <c r="O229" s="13" t="s">
        <v>1647</v>
      </c>
      <c r="P229" s="13" t="s">
        <v>1631</v>
      </c>
      <c r="R229" s="13" t="s">
        <v>1647</v>
      </c>
      <c r="S229" s="13" t="s">
        <v>1631</v>
      </c>
      <c r="U229" s="13" t="s">
        <v>1647</v>
      </c>
      <c r="V229" s="13" t="s">
        <v>1631</v>
      </c>
      <c r="W229" s="13" t="s">
        <v>1797</v>
      </c>
    </row>
    <row r="230" spans="1:23" ht="120" x14ac:dyDescent="0.25">
      <c r="A230" s="13" t="s">
        <v>512</v>
      </c>
      <c r="B230" s="13" t="s">
        <v>1364</v>
      </c>
      <c r="C230" s="10" t="s">
        <v>1182</v>
      </c>
      <c r="D230" s="10" t="s">
        <v>57</v>
      </c>
      <c r="E230" s="13" t="s">
        <v>1023</v>
      </c>
      <c r="F230" s="13" t="s">
        <v>1145</v>
      </c>
      <c r="G230" s="13" t="s">
        <v>1365</v>
      </c>
      <c r="H230" s="11" t="s">
        <v>65</v>
      </c>
      <c r="I230" s="10" t="s">
        <v>1190</v>
      </c>
      <c r="J230" s="10" t="s">
        <v>1351</v>
      </c>
      <c r="L230" s="13" t="s">
        <v>1647</v>
      </c>
      <c r="M230" s="13" t="s">
        <v>1631</v>
      </c>
      <c r="N230" s="13" t="s">
        <v>1640</v>
      </c>
      <c r="O230" s="13" t="s">
        <v>1647</v>
      </c>
      <c r="P230" s="13" t="s">
        <v>1631</v>
      </c>
      <c r="R230" s="13" t="s">
        <v>1647</v>
      </c>
      <c r="S230" s="13" t="s">
        <v>1631</v>
      </c>
      <c r="U230" s="13" t="s">
        <v>1647</v>
      </c>
      <c r="V230" s="13" t="s">
        <v>1631</v>
      </c>
      <c r="W230" s="13" t="s">
        <v>1798</v>
      </c>
    </row>
    <row r="231" spans="1:23" ht="120" x14ac:dyDescent="0.25">
      <c r="A231" s="13" t="s">
        <v>513</v>
      </c>
      <c r="B231" s="13" t="s">
        <v>1366</v>
      </c>
      <c r="C231" s="10" t="s">
        <v>1182</v>
      </c>
      <c r="D231" s="10" t="s">
        <v>57</v>
      </c>
      <c r="E231" s="13" t="s">
        <v>1023</v>
      </c>
      <c r="F231" s="13" t="s">
        <v>1146</v>
      </c>
      <c r="G231" s="13" t="s">
        <v>1367</v>
      </c>
      <c r="H231" s="11" t="s">
        <v>65</v>
      </c>
      <c r="I231" s="10" t="s">
        <v>1190</v>
      </c>
      <c r="J231" s="10" t="s">
        <v>1351</v>
      </c>
      <c r="L231" s="13" t="s">
        <v>1647</v>
      </c>
      <c r="M231" s="13" t="s">
        <v>1631</v>
      </c>
      <c r="N231" s="13" t="s">
        <v>1640</v>
      </c>
      <c r="O231" s="13" t="s">
        <v>1647</v>
      </c>
      <c r="P231" s="13" t="s">
        <v>1631</v>
      </c>
      <c r="R231" s="13" t="s">
        <v>1647</v>
      </c>
      <c r="S231" s="13" t="s">
        <v>1631</v>
      </c>
      <c r="U231" s="13" t="s">
        <v>1647</v>
      </c>
      <c r="V231" s="13" t="s">
        <v>1631</v>
      </c>
      <c r="W231" s="13" t="s">
        <v>1798</v>
      </c>
    </row>
    <row r="232" spans="1:23" ht="120" x14ac:dyDescent="0.25">
      <c r="A232" s="13" t="s">
        <v>514</v>
      </c>
      <c r="B232" s="13" t="s">
        <v>1368</v>
      </c>
      <c r="C232" s="10" t="s">
        <v>1182</v>
      </c>
      <c r="D232" s="10" t="s">
        <v>57</v>
      </c>
      <c r="E232" s="13" t="s">
        <v>1023</v>
      </c>
      <c r="F232" s="13" t="s">
        <v>1147</v>
      </c>
      <c r="G232" s="13" t="s">
        <v>1369</v>
      </c>
      <c r="H232" s="11" t="s">
        <v>65</v>
      </c>
      <c r="I232" s="10" t="s">
        <v>1190</v>
      </c>
      <c r="J232" s="10" t="s">
        <v>1356</v>
      </c>
      <c r="L232" s="13" t="s">
        <v>1647</v>
      </c>
      <c r="M232" s="13" t="s">
        <v>1631</v>
      </c>
      <c r="N232" s="13" t="s">
        <v>1640</v>
      </c>
      <c r="O232" s="13" t="s">
        <v>1647</v>
      </c>
      <c r="P232" s="13" t="s">
        <v>1631</v>
      </c>
      <c r="R232" s="13" t="s">
        <v>1647</v>
      </c>
      <c r="S232" s="13" t="s">
        <v>1631</v>
      </c>
      <c r="U232" s="13" t="s">
        <v>1647</v>
      </c>
      <c r="V232" s="13" t="s">
        <v>1631</v>
      </c>
      <c r="W232" s="13" t="s">
        <v>1798</v>
      </c>
    </row>
    <row r="233" spans="1:23" ht="120" x14ac:dyDescent="0.25">
      <c r="A233" s="13" t="s">
        <v>515</v>
      </c>
      <c r="B233" s="13" t="s">
        <v>1370</v>
      </c>
      <c r="C233" s="10" t="s">
        <v>1182</v>
      </c>
      <c r="D233" s="10" t="s">
        <v>57</v>
      </c>
      <c r="E233" s="13" t="s">
        <v>1023</v>
      </c>
      <c r="F233" s="13" t="s">
        <v>1148</v>
      </c>
      <c r="G233" s="13" t="s">
        <v>1371</v>
      </c>
      <c r="H233" s="11" t="s">
        <v>65</v>
      </c>
      <c r="I233" s="10" t="s">
        <v>1190</v>
      </c>
      <c r="J233" s="10" t="s">
        <v>1356</v>
      </c>
      <c r="L233" s="13" t="s">
        <v>1647</v>
      </c>
      <c r="M233" s="13" t="s">
        <v>1631</v>
      </c>
      <c r="N233" s="13" t="s">
        <v>1640</v>
      </c>
      <c r="O233" s="13" t="s">
        <v>1647</v>
      </c>
      <c r="P233" s="13" t="s">
        <v>1631</v>
      </c>
      <c r="R233" s="13" t="s">
        <v>1647</v>
      </c>
      <c r="S233" s="13" t="s">
        <v>1631</v>
      </c>
      <c r="U233" s="13" t="s">
        <v>1647</v>
      </c>
      <c r="V233" s="13" t="s">
        <v>1631</v>
      </c>
      <c r="W233" s="13" t="s">
        <v>1798</v>
      </c>
    </row>
    <row r="234" spans="1:23" ht="120" x14ac:dyDescent="0.25">
      <c r="A234" s="13" t="s">
        <v>516</v>
      </c>
      <c r="B234" s="13" t="s">
        <v>1372</v>
      </c>
      <c r="C234" s="10" t="s">
        <v>1182</v>
      </c>
      <c r="D234" s="10" t="s">
        <v>57</v>
      </c>
      <c r="E234" s="13" t="s">
        <v>1023</v>
      </c>
      <c r="F234" s="13" t="s">
        <v>1149</v>
      </c>
      <c r="G234" s="13" t="s">
        <v>1373</v>
      </c>
      <c r="H234" s="11" t="s">
        <v>65</v>
      </c>
      <c r="I234" s="10" t="s">
        <v>1190</v>
      </c>
      <c r="J234" s="10" t="s">
        <v>1361</v>
      </c>
      <c r="L234" s="13" t="s">
        <v>1647</v>
      </c>
      <c r="M234" s="13" t="s">
        <v>1631</v>
      </c>
      <c r="N234" s="13" t="s">
        <v>1640</v>
      </c>
      <c r="O234" s="13" t="s">
        <v>1647</v>
      </c>
      <c r="P234" s="13" t="s">
        <v>1631</v>
      </c>
      <c r="R234" s="13" t="s">
        <v>1647</v>
      </c>
      <c r="S234" s="13" t="s">
        <v>1631</v>
      </c>
      <c r="U234" s="13" t="s">
        <v>1647</v>
      </c>
      <c r="V234" s="13" t="s">
        <v>1631</v>
      </c>
      <c r="W234" s="13" t="s">
        <v>1798</v>
      </c>
    </row>
    <row r="235" spans="1:23" ht="120" x14ac:dyDescent="0.25">
      <c r="A235" s="13" t="s">
        <v>517</v>
      </c>
      <c r="B235" s="13" t="s">
        <v>1374</v>
      </c>
      <c r="C235" s="10" t="s">
        <v>1182</v>
      </c>
      <c r="D235" s="10" t="s">
        <v>57</v>
      </c>
      <c r="E235" s="13" t="s">
        <v>1023</v>
      </c>
      <c r="F235" s="13" t="s">
        <v>1150</v>
      </c>
      <c r="G235" s="13" t="s">
        <v>1375</v>
      </c>
      <c r="H235" s="11" t="s">
        <v>65</v>
      </c>
      <c r="I235" s="10" t="s">
        <v>1190</v>
      </c>
      <c r="J235" s="10" t="s">
        <v>1361</v>
      </c>
      <c r="L235" s="13" t="s">
        <v>1647</v>
      </c>
      <c r="M235" s="13" t="s">
        <v>1631</v>
      </c>
      <c r="N235" s="13" t="s">
        <v>1640</v>
      </c>
      <c r="O235" s="13" t="s">
        <v>1647</v>
      </c>
      <c r="P235" s="13" t="s">
        <v>1631</v>
      </c>
      <c r="R235" s="13" t="s">
        <v>1647</v>
      </c>
      <c r="S235" s="13" t="s">
        <v>1631</v>
      </c>
      <c r="U235" s="13" t="s">
        <v>1647</v>
      </c>
      <c r="V235" s="13" t="s">
        <v>1631</v>
      </c>
      <c r="W235" s="13" t="s">
        <v>1798</v>
      </c>
    </row>
    <row r="236" spans="1:23" ht="120" x14ac:dyDescent="0.25">
      <c r="A236" s="13" t="s">
        <v>518</v>
      </c>
      <c r="B236" s="13" t="s">
        <v>1376</v>
      </c>
      <c r="C236" s="10" t="s">
        <v>1182</v>
      </c>
      <c r="D236" s="10" t="s">
        <v>57</v>
      </c>
      <c r="E236" s="13" t="s">
        <v>1024</v>
      </c>
      <c r="F236" s="13" t="s">
        <v>1139</v>
      </c>
      <c r="G236" s="13" t="s">
        <v>1350</v>
      </c>
      <c r="H236" s="11" t="s">
        <v>65</v>
      </c>
      <c r="I236" s="10" t="s">
        <v>1190</v>
      </c>
      <c r="J236" s="10" t="s">
        <v>1351</v>
      </c>
      <c r="L236" s="13" t="s">
        <v>1647</v>
      </c>
      <c r="M236" s="13" t="s">
        <v>1631</v>
      </c>
      <c r="N236" s="13" t="s">
        <v>1640</v>
      </c>
      <c r="O236" s="13" t="s">
        <v>1647</v>
      </c>
      <c r="P236" s="13" t="s">
        <v>1631</v>
      </c>
      <c r="R236" s="13" t="s">
        <v>1647</v>
      </c>
      <c r="S236" s="13" t="s">
        <v>1631</v>
      </c>
      <c r="U236" s="13" t="s">
        <v>1647</v>
      </c>
      <c r="V236" s="13" t="s">
        <v>1631</v>
      </c>
      <c r="W236" s="13" t="s">
        <v>1799</v>
      </c>
    </row>
    <row r="237" spans="1:23" ht="120" x14ac:dyDescent="0.25">
      <c r="A237" s="13" t="s">
        <v>519</v>
      </c>
      <c r="B237" s="13" t="s">
        <v>1377</v>
      </c>
      <c r="C237" s="10" t="s">
        <v>1182</v>
      </c>
      <c r="D237" s="10" t="s">
        <v>57</v>
      </c>
      <c r="E237" s="13" t="s">
        <v>1024</v>
      </c>
      <c r="F237" s="13" t="s">
        <v>1140</v>
      </c>
      <c r="G237" s="13" t="s">
        <v>1353</v>
      </c>
      <c r="H237" s="11" t="s">
        <v>65</v>
      </c>
      <c r="I237" s="10" t="s">
        <v>1190</v>
      </c>
      <c r="J237" s="10" t="s">
        <v>1351</v>
      </c>
      <c r="L237" s="13" t="s">
        <v>1647</v>
      </c>
      <c r="M237" s="13" t="s">
        <v>1631</v>
      </c>
      <c r="N237" s="13" t="s">
        <v>1640</v>
      </c>
      <c r="O237" s="13" t="s">
        <v>1647</v>
      </c>
      <c r="P237" s="13" t="s">
        <v>1631</v>
      </c>
      <c r="R237" s="13" t="s">
        <v>1647</v>
      </c>
      <c r="S237" s="13" t="s">
        <v>1631</v>
      </c>
      <c r="U237" s="13" t="s">
        <v>1647</v>
      </c>
      <c r="V237" s="13" t="s">
        <v>1631</v>
      </c>
      <c r="W237" s="13" t="s">
        <v>1799</v>
      </c>
    </row>
    <row r="238" spans="1:23" ht="120" x14ac:dyDescent="0.25">
      <c r="A238" s="13" t="s">
        <v>520</v>
      </c>
      <c r="B238" s="13" t="s">
        <v>1378</v>
      </c>
      <c r="C238" s="10" t="s">
        <v>1182</v>
      </c>
      <c r="D238" s="10" t="s">
        <v>57</v>
      </c>
      <c r="E238" s="13" t="s">
        <v>1024</v>
      </c>
      <c r="F238" s="13" t="s">
        <v>1141</v>
      </c>
      <c r="G238" s="13" t="s">
        <v>1355</v>
      </c>
      <c r="H238" s="11" t="s">
        <v>65</v>
      </c>
      <c r="I238" s="10" t="s">
        <v>1190</v>
      </c>
      <c r="J238" s="10" t="s">
        <v>1356</v>
      </c>
      <c r="L238" s="13" t="s">
        <v>1647</v>
      </c>
      <c r="M238" s="13" t="s">
        <v>1631</v>
      </c>
      <c r="N238" s="13" t="s">
        <v>1640</v>
      </c>
      <c r="O238" s="13" t="s">
        <v>1647</v>
      </c>
      <c r="P238" s="13" t="s">
        <v>1631</v>
      </c>
      <c r="R238" s="13" t="s">
        <v>1647</v>
      </c>
      <c r="S238" s="13" t="s">
        <v>1631</v>
      </c>
      <c r="U238" s="13" t="s">
        <v>1647</v>
      </c>
      <c r="V238" s="13" t="s">
        <v>1631</v>
      </c>
      <c r="W238" s="13" t="s">
        <v>1799</v>
      </c>
    </row>
    <row r="239" spans="1:23" ht="120" x14ac:dyDescent="0.25">
      <c r="A239" s="13" t="s">
        <v>521</v>
      </c>
      <c r="B239" s="13" t="s">
        <v>1379</v>
      </c>
      <c r="C239" s="10" t="s">
        <v>1182</v>
      </c>
      <c r="D239" s="10" t="s">
        <v>57</v>
      </c>
      <c r="E239" s="13" t="s">
        <v>1024</v>
      </c>
      <c r="F239" s="13" t="s">
        <v>1142</v>
      </c>
      <c r="G239" s="13" t="s">
        <v>1358</v>
      </c>
      <c r="H239" s="11" t="s">
        <v>65</v>
      </c>
      <c r="I239" s="10" t="s">
        <v>1190</v>
      </c>
      <c r="J239" s="10" t="s">
        <v>1356</v>
      </c>
      <c r="L239" s="13" t="s">
        <v>1647</v>
      </c>
      <c r="M239" s="13" t="s">
        <v>1631</v>
      </c>
      <c r="N239" s="13" t="s">
        <v>1640</v>
      </c>
      <c r="O239" s="13" t="s">
        <v>1647</v>
      </c>
      <c r="P239" s="13" t="s">
        <v>1631</v>
      </c>
      <c r="R239" s="13" t="s">
        <v>1647</v>
      </c>
      <c r="S239" s="13" t="s">
        <v>1631</v>
      </c>
      <c r="U239" s="13" t="s">
        <v>1647</v>
      </c>
      <c r="V239" s="13" t="s">
        <v>1631</v>
      </c>
      <c r="W239" s="13" t="s">
        <v>1799</v>
      </c>
    </row>
    <row r="240" spans="1:23" ht="120" x14ac:dyDescent="0.25">
      <c r="A240" s="13" t="s">
        <v>522</v>
      </c>
      <c r="B240" s="13" t="s">
        <v>1380</v>
      </c>
      <c r="C240" s="10" t="s">
        <v>1182</v>
      </c>
      <c r="D240" s="10" t="s">
        <v>57</v>
      </c>
      <c r="E240" s="13" t="s">
        <v>1024</v>
      </c>
      <c r="F240" s="13" t="s">
        <v>1143</v>
      </c>
      <c r="G240" s="13" t="s">
        <v>1360</v>
      </c>
      <c r="H240" s="11" t="s">
        <v>65</v>
      </c>
      <c r="I240" s="10" t="s">
        <v>1190</v>
      </c>
      <c r="J240" s="10" t="s">
        <v>1361</v>
      </c>
      <c r="L240" s="13" t="s">
        <v>1647</v>
      </c>
      <c r="M240" s="13" t="s">
        <v>1631</v>
      </c>
      <c r="N240" s="13" t="s">
        <v>1640</v>
      </c>
      <c r="O240" s="13" t="s">
        <v>1647</v>
      </c>
      <c r="P240" s="13" t="s">
        <v>1631</v>
      </c>
      <c r="R240" s="13" t="s">
        <v>1647</v>
      </c>
      <c r="S240" s="13" t="s">
        <v>1631</v>
      </c>
      <c r="U240" s="13" t="s">
        <v>1647</v>
      </c>
      <c r="V240" s="13" t="s">
        <v>1631</v>
      </c>
      <c r="W240" s="13" t="s">
        <v>1799</v>
      </c>
    </row>
    <row r="241" spans="1:23" ht="120" x14ac:dyDescent="0.25">
      <c r="A241" s="13" t="s">
        <v>523</v>
      </c>
      <c r="B241" s="13" t="s">
        <v>1381</v>
      </c>
      <c r="C241" s="10" t="s">
        <v>1182</v>
      </c>
      <c r="D241" s="10" t="s">
        <v>57</v>
      </c>
      <c r="E241" s="13" t="s">
        <v>1024</v>
      </c>
      <c r="F241" s="13" t="s">
        <v>1144</v>
      </c>
      <c r="G241" s="13" t="s">
        <v>1363</v>
      </c>
      <c r="H241" s="11" t="s">
        <v>65</v>
      </c>
      <c r="I241" s="10" t="s">
        <v>1190</v>
      </c>
      <c r="J241" s="10" t="s">
        <v>1361</v>
      </c>
      <c r="L241" s="13" t="s">
        <v>1647</v>
      </c>
      <c r="M241" s="13" t="s">
        <v>1631</v>
      </c>
      <c r="N241" s="13" t="s">
        <v>1640</v>
      </c>
      <c r="O241" s="13" t="s">
        <v>1647</v>
      </c>
      <c r="P241" s="13" t="s">
        <v>1631</v>
      </c>
      <c r="R241" s="13" t="s">
        <v>1647</v>
      </c>
      <c r="S241" s="13" t="s">
        <v>1631</v>
      </c>
      <c r="U241" s="13" t="s">
        <v>1647</v>
      </c>
      <c r="V241" s="13" t="s">
        <v>1631</v>
      </c>
      <c r="W241" s="13" t="s">
        <v>1799</v>
      </c>
    </row>
    <row r="242" spans="1:23" ht="120" x14ac:dyDescent="0.25">
      <c r="A242" s="13" t="s">
        <v>524</v>
      </c>
      <c r="B242" s="13" t="s">
        <v>1382</v>
      </c>
      <c r="C242" s="10" t="s">
        <v>1182</v>
      </c>
      <c r="D242" s="10" t="s">
        <v>57</v>
      </c>
      <c r="E242" s="13" t="s">
        <v>1025</v>
      </c>
      <c r="F242" s="13" t="s">
        <v>1145</v>
      </c>
      <c r="G242" s="13" t="s">
        <v>1365</v>
      </c>
      <c r="H242" s="11" t="s">
        <v>65</v>
      </c>
      <c r="I242" s="10" t="s">
        <v>1190</v>
      </c>
      <c r="J242" s="10" t="s">
        <v>1351</v>
      </c>
      <c r="L242" s="13" t="s">
        <v>1647</v>
      </c>
      <c r="M242" s="13" t="s">
        <v>1631</v>
      </c>
      <c r="N242" s="13" t="s">
        <v>1640</v>
      </c>
      <c r="O242" s="13" t="s">
        <v>1647</v>
      </c>
      <c r="P242" s="13" t="s">
        <v>1631</v>
      </c>
      <c r="R242" s="13" t="s">
        <v>1647</v>
      </c>
      <c r="S242" s="13" t="s">
        <v>1631</v>
      </c>
      <c r="U242" s="13" t="s">
        <v>1647</v>
      </c>
      <c r="V242" s="13" t="s">
        <v>1631</v>
      </c>
      <c r="W242" s="13" t="s">
        <v>1800</v>
      </c>
    </row>
    <row r="243" spans="1:23" ht="120" x14ac:dyDescent="0.25">
      <c r="A243" s="13" t="s">
        <v>525</v>
      </c>
      <c r="B243" s="13" t="s">
        <v>1383</v>
      </c>
      <c r="C243" s="10" t="s">
        <v>1182</v>
      </c>
      <c r="D243" s="10" t="s">
        <v>57</v>
      </c>
      <c r="E243" s="13" t="s">
        <v>1025</v>
      </c>
      <c r="F243" s="13" t="s">
        <v>1146</v>
      </c>
      <c r="G243" s="13" t="s">
        <v>1367</v>
      </c>
      <c r="H243" s="11" t="s">
        <v>65</v>
      </c>
      <c r="I243" s="10" t="s">
        <v>1190</v>
      </c>
      <c r="J243" s="10" t="s">
        <v>1351</v>
      </c>
      <c r="L243" s="13" t="s">
        <v>1647</v>
      </c>
      <c r="M243" s="13" t="s">
        <v>1631</v>
      </c>
      <c r="N243" s="13" t="s">
        <v>1640</v>
      </c>
      <c r="O243" s="13" t="s">
        <v>1647</v>
      </c>
      <c r="P243" s="13" t="s">
        <v>1631</v>
      </c>
      <c r="R243" s="13" t="s">
        <v>1647</v>
      </c>
      <c r="S243" s="13" t="s">
        <v>1631</v>
      </c>
      <c r="U243" s="13" t="s">
        <v>1647</v>
      </c>
      <c r="V243" s="13" t="s">
        <v>1631</v>
      </c>
      <c r="W243" s="13" t="s">
        <v>1800</v>
      </c>
    </row>
    <row r="244" spans="1:23" ht="120" x14ac:dyDescent="0.25">
      <c r="A244" s="13" t="s">
        <v>526</v>
      </c>
      <c r="B244" s="13" t="s">
        <v>1384</v>
      </c>
      <c r="C244" s="10" t="s">
        <v>1182</v>
      </c>
      <c r="D244" s="10" t="s">
        <v>57</v>
      </c>
      <c r="E244" s="13" t="s">
        <v>1025</v>
      </c>
      <c r="F244" s="13" t="s">
        <v>1147</v>
      </c>
      <c r="G244" s="13" t="s">
        <v>1369</v>
      </c>
      <c r="H244" s="11" t="s">
        <v>65</v>
      </c>
      <c r="I244" s="10" t="s">
        <v>1190</v>
      </c>
      <c r="J244" s="10" t="s">
        <v>1356</v>
      </c>
      <c r="L244" s="13" t="s">
        <v>1647</v>
      </c>
      <c r="M244" s="13" t="s">
        <v>1631</v>
      </c>
      <c r="N244" s="13" t="s">
        <v>1640</v>
      </c>
      <c r="O244" s="13" t="s">
        <v>1647</v>
      </c>
      <c r="P244" s="13" t="s">
        <v>1631</v>
      </c>
      <c r="R244" s="13" t="s">
        <v>1647</v>
      </c>
      <c r="S244" s="13" t="s">
        <v>1631</v>
      </c>
      <c r="U244" s="13" t="s">
        <v>1647</v>
      </c>
      <c r="V244" s="13" t="s">
        <v>1631</v>
      </c>
      <c r="W244" s="13" t="s">
        <v>1800</v>
      </c>
    </row>
    <row r="245" spans="1:23" ht="120" x14ac:dyDescent="0.25">
      <c r="A245" s="13" t="s">
        <v>527</v>
      </c>
      <c r="B245" s="13" t="s">
        <v>1385</v>
      </c>
      <c r="C245" s="10" t="s">
        <v>1182</v>
      </c>
      <c r="D245" s="10" t="s">
        <v>57</v>
      </c>
      <c r="E245" s="13" t="s">
        <v>1025</v>
      </c>
      <c r="F245" s="13" t="s">
        <v>1148</v>
      </c>
      <c r="G245" s="13" t="s">
        <v>1371</v>
      </c>
      <c r="H245" s="11" t="s">
        <v>65</v>
      </c>
      <c r="I245" s="10" t="s">
        <v>1190</v>
      </c>
      <c r="J245" s="10" t="s">
        <v>1356</v>
      </c>
      <c r="L245" s="13" t="s">
        <v>1647</v>
      </c>
      <c r="M245" s="13" t="s">
        <v>1631</v>
      </c>
      <c r="N245" s="13" t="s">
        <v>1640</v>
      </c>
      <c r="O245" s="13" t="s">
        <v>1647</v>
      </c>
      <c r="P245" s="13" t="s">
        <v>1631</v>
      </c>
      <c r="R245" s="13" t="s">
        <v>1647</v>
      </c>
      <c r="S245" s="13" t="s">
        <v>1631</v>
      </c>
      <c r="U245" s="13" t="s">
        <v>1647</v>
      </c>
      <c r="V245" s="13" t="s">
        <v>1631</v>
      </c>
      <c r="W245" s="13" t="s">
        <v>1800</v>
      </c>
    </row>
    <row r="246" spans="1:23" ht="120" x14ac:dyDescent="0.25">
      <c r="A246" s="13" t="s">
        <v>528</v>
      </c>
      <c r="B246" s="13" t="s">
        <v>1386</v>
      </c>
      <c r="C246" s="10" t="s">
        <v>1182</v>
      </c>
      <c r="D246" s="10" t="s">
        <v>57</v>
      </c>
      <c r="E246" s="13" t="s">
        <v>1025</v>
      </c>
      <c r="F246" s="13" t="s">
        <v>1149</v>
      </c>
      <c r="G246" s="13" t="s">
        <v>1373</v>
      </c>
      <c r="H246" s="11" t="s">
        <v>65</v>
      </c>
      <c r="I246" s="10" t="s">
        <v>1190</v>
      </c>
      <c r="J246" s="10" t="s">
        <v>1361</v>
      </c>
      <c r="L246" s="13" t="s">
        <v>1647</v>
      </c>
      <c r="M246" s="13" t="s">
        <v>1631</v>
      </c>
      <c r="N246" s="13" t="s">
        <v>1640</v>
      </c>
      <c r="O246" s="13" t="s">
        <v>1647</v>
      </c>
      <c r="P246" s="13" t="s">
        <v>1631</v>
      </c>
      <c r="R246" s="13" t="s">
        <v>1647</v>
      </c>
      <c r="S246" s="13" t="s">
        <v>1631</v>
      </c>
      <c r="U246" s="13" t="s">
        <v>1647</v>
      </c>
      <c r="V246" s="13" t="s">
        <v>1631</v>
      </c>
      <c r="W246" s="13" t="s">
        <v>1800</v>
      </c>
    </row>
    <row r="247" spans="1:23" ht="120" x14ac:dyDescent="0.25">
      <c r="A247" s="13" t="s">
        <v>529</v>
      </c>
      <c r="B247" s="13" t="s">
        <v>1387</v>
      </c>
      <c r="C247" s="10" t="s">
        <v>1182</v>
      </c>
      <c r="D247" s="10" t="s">
        <v>57</v>
      </c>
      <c r="E247" s="13" t="s">
        <v>1025</v>
      </c>
      <c r="F247" s="13" t="s">
        <v>1150</v>
      </c>
      <c r="G247" s="13" t="s">
        <v>1375</v>
      </c>
      <c r="H247" s="11" t="s">
        <v>65</v>
      </c>
      <c r="I247" s="10" t="s">
        <v>1190</v>
      </c>
      <c r="J247" s="10" t="s">
        <v>1361</v>
      </c>
      <c r="L247" s="13" t="s">
        <v>1647</v>
      </c>
      <c r="M247" s="13" t="s">
        <v>1631</v>
      </c>
      <c r="N247" s="13" t="s">
        <v>1640</v>
      </c>
      <c r="O247" s="13" t="s">
        <v>1647</v>
      </c>
      <c r="P247" s="13" t="s">
        <v>1631</v>
      </c>
      <c r="R247" s="13" t="s">
        <v>1647</v>
      </c>
      <c r="S247" s="13" t="s">
        <v>1631</v>
      </c>
      <c r="U247" s="13" t="s">
        <v>1647</v>
      </c>
      <c r="V247" s="13" t="s">
        <v>1631</v>
      </c>
      <c r="W247" s="13" t="s">
        <v>1800</v>
      </c>
    </row>
    <row r="248" spans="1:23" ht="120" x14ac:dyDescent="0.25">
      <c r="A248" s="13" t="s">
        <v>530</v>
      </c>
      <c r="B248" s="13" t="s">
        <v>1388</v>
      </c>
      <c r="C248" s="10" t="s">
        <v>1182</v>
      </c>
      <c r="D248" s="10" t="s">
        <v>57</v>
      </c>
      <c r="E248" s="13" t="s">
        <v>1026</v>
      </c>
      <c r="F248" s="13" t="s">
        <v>1151</v>
      </c>
      <c r="G248" s="13" t="s">
        <v>1389</v>
      </c>
      <c r="H248" s="11" t="s">
        <v>65</v>
      </c>
      <c r="I248" s="10" t="s">
        <v>1190</v>
      </c>
      <c r="J248" s="10" t="s">
        <v>1390</v>
      </c>
      <c r="L248" s="13" t="s">
        <v>1647</v>
      </c>
      <c r="M248" s="13" t="s">
        <v>1631</v>
      </c>
      <c r="N248" s="13" t="s">
        <v>1640</v>
      </c>
      <c r="O248" s="13" t="s">
        <v>1647</v>
      </c>
      <c r="P248" s="13" t="s">
        <v>1631</v>
      </c>
      <c r="R248" s="13" t="s">
        <v>1647</v>
      </c>
      <c r="S248" s="13" t="s">
        <v>1631</v>
      </c>
      <c r="U248" s="13" t="s">
        <v>1647</v>
      </c>
      <c r="V248" s="13" t="s">
        <v>1631</v>
      </c>
      <c r="W248" s="13" t="s">
        <v>1801</v>
      </c>
    </row>
    <row r="249" spans="1:23" ht="120" x14ac:dyDescent="0.25">
      <c r="A249" s="13" t="s">
        <v>531</v>
      </c>
      <c r="B249" s="13" t="s">
        <v>1391</v>
      </c>
      <c r="C249" s="10" t="s">
        <v>1182</v>
      </c>
      <c r="D249" s="10" t="s">
        <v>57</v>
      </c>
      <c r="E249" s="13" t="s">
        <v>1026</v>
      </c>
      <c r="F249" s="13" t="s">
        <v>1152</v>
      </c>
      <c r="G249" s="13" t="s">
        <v>1392</v>
      </c>
      <c r="H249" s="11" t="s">
        <v>65</v>
      </c>
      <c r="I249" s="10" t="s">
        <v>1190</v>
      </c>
      <c r="J249" s="10" t="s">
        <v>1390</v>
      </c>
      <c r="L249" s="13" t="s">
        <v>1647</v>
      </c>
      <c r="M249" s="13" t="s">
        <v>1631</v>
      </c>
      <c r="N249" s="13" t="s">
        <v>1640</v>
      </c>
      <c r="O249" s="13" t="s">
        <v>1647</v>
      </c>
      <c r="P249" s="13" t="s">
        <v>1631</v>
      </c>
      <c r="R249" s="13" t="s">
        <v>1647</v>
      </c>
      <c r="S249" s="13" t="s">
        <v>1631</v>
      </c>
      <c r="U249" s="13" t="s">
        <v>1647</v>
      </c>
      <c r="V249" s="13" t="s">
        <v>1631</v>
      </c>
      <c r="W249" s="13" t="s">
        <v>1801</v>
      </c>
    </row>
    <row r="250" spans="1:23" ht="120" x14ac:dyDescent="0.25">
      <c r="A250" s="13" t="s">
        <v>532</v>
      </c>
      <c r="B250" s="13" t="s">
        <v>1393</v>
      </c>
      <c r="C250" s="10" t="s">
        <v>1182</v>
      </c>
      <c r="D250" s="10" t="s">
        <v>57</v>
      </c>
      <c r="E250" s="13" t="s">
        <v>1026</v>
      </c>
      <c r="F250" s="13" t="s">
        <v>1153</v>
      </c>
      <c r="G250" s="13" t="s">
        <v>1394</v>
      </c>
      <c r="H250" s="11" t="s">
        <v>65</v>
      </c>
      <c r="I250" s="10" t="s">
        <v>1190</v>
      </c>
      <c r="J250" s="10" t="s">
        <v>1395</v>
      </c>
      <c r="L250" s="13" t="s">
        <v>1647</v>
      </c>
      <c r="M250" s="13" t="s">
        <v>1631</v>
      </c>
      <c r="N250" s="13" t="s">
        <v>1640</v>
      </c>
      <c r="O250" s="13" t="s">
        <v>1647</v>
      </c>
      <c r="P250" s="13" t="s">
        <v>1631</v>
      </c>
      <c r="R250" s="13" t="s">
        <v>1647</v>
      </c>
      <c r="S250" s="13" t="s">
        <v>1631</v>
      </c>
      <c r="U250" s="13" t="s">
        <v>1647</v>
      </c>
      <c r="V250" s="13" t="s">
        <v>1631</v>
      </c>
      <c r="W250" s="13" t="s">
        <v>1801</v>
      </c>
    </row>
    <row r="251" spans="1:23" ht="120" x14ac:dyDescent="0.25">
      <c r="A251" s="13" t="s">
        <v>533</v>
      </c>
      <c r="B251" s="13" t="s">
        <v>1396</v>
      </c>
      <c r="C251" s="10" t="s">
        <v>1182</v>
      </c>
      <c r="D251" s="10" t="s">
        <v>57</v>
      </c>
      <c r="E251" s="13" t="s">
        <v>1026</v>
      </c>
      <c r="F251" s="13" t="s">
        <v>1154</v>
      </c>
      <c r="G251" s="13" t="s">
        <v>1397</v>
      </c>
      <c r="H251" s="11" t="s">
        <v>65</v>
      </c>
      <c r="I251" s="10" t="s">
        <v>1190</v>
      </c>
      <c r="J251" s="10" t="s">
        <v>1395</v>
      </c>
      <c r="L251" s="13" t="s">
        <v>1647</v>
      </c>
      <c r="M251" s="13" t="s">
        <v>1631</v>
      </c>
      <c r="N251" s="13" t="s">
        <v>1640</v>
      </c>
      <c r="O251" s="13" t="s">
        <v>1647</v>
      </c>
      <c r="P251" s="13" t="s">
        <v>1631</v>
      </c>
      <c r="R251" s="13" t="s">
        <v>1647</v>
      </c>
      <c r="S251" s="13" t="s">
        <v>1631</v>
      </c>
      <c r="U251" s="13" t="s">
        <v>1647</v>
      </c>
      <c r="V251" s="13" t="s">
        <v>1631</v>
      </c>
      <c r="W251" s="13" t="s">
        <v>1801</v>
      </c>
    </row>
    <row r="252" spans="1:23" ht="120" x14ac:dyDescent="0.25">
      <c r="A252" s="13" t="s">
        <v>534</v>
      </c>
      <c r="B252" s="13" t="s">
        <v>1398</v>
      </c>
      <c r="C252" s="10" t="s">
        <v>1182</v>
      </c>
      <c r="D252" s="10" t="s">
        <v>57</v>
      </c>
      <c r="E252" s="13" t="s">
        <v>1026</v>
      </c>
      <c r="F252" s="13" t="s">
        <v>1155</v>
      </c>
      <c r="G252" s="13" t="s">
        <v>1399</v>
      </c>
      <c r="H252" s="11" t="s">
        <v>65</v>
      </c>
      <c r="I252" s="10" t="s">
        <v>1190</v>
      </c>
      <c r="J252" s="10" t="s">
        <v>1400</v>
      </c>
      <c r="L252" s="13" t="s">
        <v>1647</v>
      </c>
      <c r="M252" s="13" t="s">
        <v>1631</v>
      </c>
      <c r="N252" s="13" t="s">
        <v>1640</v>
      </c>
      <c r="O252" s="13" t="s">
        <v>1647</v>
      </c>
      <c r="P252" s="13" t="s">
        <v>1631</v>
      </c>
      <c r="R252" s="13" t="s">
        <v>1647</v>
      </c>
      <c r="S252" s="13" t="s">
        <v>1631</v>
      </c>
      <c r="U252" s="13" t="s">
        <v>1647</v>
      </c>
      <c r="V252" s="13" t="s">
        <v>1631</v>
      </c>
      <c r="W252" s="13" t="s">
        <v>1801</v>
      </c>
    </row>
    <row r="253" spans="1:23" ht="120" x14ac:dyDescent="0.25">
      <c r="A253" s="13" t="s">
        <v>535</v>
      </c>
      <c r="B253" s="13" t="s">
        <v>1401</v>
      </c>
      <c r="C253" s="10" t="s">
        <v>1182</v>
      </c>
      <c r="D253" s="10" t="s">
        <v>57</v>
      </c>
      <c r="E253" s="13" t="s">
        <v>1026</v>
      </c>
      <c r="F253" s="13" t="s">
        <v>1156</v>
      </c>
      <c r="G253" s="13" t="s">
        <v>1402</v>
      </c>
      <c r="H253" s="11" t="s">
        <v>65</v>
      </c>
      <c r="I253" s="10" t="s">
        <v>1190</v>
      </c>
      <c r="J253" s="10" t="s">
        <v>1400</v>
      </c>
      <c r="L253" s="13" t="s">
        <v>1647</v>
      </c>
      <c r="M253" s="13" t="s">
        <v>1631</v>
      </c>
      <c r="N253" s="13" t="s">
        <v>1640</v>
      </c>
      <c r="O253" s="13" t="s">
        <v>1647</v>
      </c>
      <c r="P253" s="13" t="s">
        <v>1631</v>
      </c>
      <c r="R253" s="13" t="s">
        <v>1647</v>
      </c>
      <c r="S253" s="13" t="s">
        <v>1631</v>
      </c>
      <c r="U253" s="13" t="s">
        <v>1647</v>
      </c>
      <c r="V253" s="13" t="s">
        <v>1631</v>
      </c>
      <c r="W253" s="13" t="s">
        <v>1801</v>
      </c>
    </row>
    <row r="254" spans="1:23" ht="120" x14ac:dyDescent="0.25">
      <c r="A254" s="13" t="s">
        <v>536</v>
      </c>
      <c r="B254" s="13" t="s">
        <v>1403</v>
      </c>
      <c r="C254" s="10" t="s">
        <v>1182</v>
      </c>
      <c r="D254" s="10" t="s">
        <v>57</v>
      </c>
      <c r="E254" s="13" t="s">
        <v>1027</v>
      </c>
      <c r="F254" s="13" t="s">
        <v>1157</v>
      </c>
      <c r="G254" s="13" t="s">
        <v>1404</v>
      </c>
      <c r="H254" s="11" t="s">
        <v>65</v>
      </c>
      <c r="I254" s="10" t="s">
        <v>1190</v>
      </c>
      <c r="J254" s="10" t="s">
        <v>1390</v>
      </c>
      <c r="L254" s="13" t="s">
        <v>1647</v>
      </c>
      <c r="M254" s="13" t="s">
        <v>1631</v>
      </c>
      <c r="N254" s="13" t="s">
        <v>1640</v>
      </c>
      <c r="O254" s="13" t="s">
        <v>1647</v>
      </c>
      <c r="P254" s="13" t="s">
        <v>1631</v>
      </c>
      <c r="R254" s="13" t="s">
        <v>1647</v>
      </c>
      <c r="S254" s="13" t="s">
        <v>1631</v>
      </c>
      <c r="U254" s="13" t="s">
        <v>1647</v>
      </c>
      <c r="V254" s="13" t="s">
        <v>1631</v>
      </c>
      <c r="W254" s="13" t="s">
        <v>1802</v>
      </c>
    </row>
    <row r="255" spans="1:23" ht="120" x14ac:dyDescent="0.25">
      <c r="A255" s="13" t="s">
        <v>537</v>
      </c>
      <c r="B255" s="13" t="s">
        <v>1405</v>
      </c>
      <c r="C255" s="10" t="s">
        <v>1182</v>
      </c>
      <c r="D255" s="10" t="s">
        <v>57</v>
      </c>
      <c r="E255" s="13" t="s">
        <v>1027</v>
      </c>
      <c r="F255" s="13" t="s">
        <v>1158</v>
      </c>
      <c r="G255" s="13" t="s">
        <v>1406</v>
      </c>
      <c r="H255" s="11" t="s">
        <v>65</v>
      </c>
      <c r="I255" s="10" t="s">
        <v>1190</v>
      </c>
      <c r="J255" s="10" t="s">
        <v>1390</v>
      </c>
      <c r="L255" s="13" t="s">
        <v>1647</v>
      </c>
      <c r="M255" s="13" t="s">
        <v>1631</v>
      </c>
      <c r="N255" s="13" t="s">
        <v>1640</v>
      </c>
      <c r="O255" s="13" t="s">
        <v>1647</v>
      </c>
      <c r="P255" s="13" t="s">
        <v>1631</v>
      </c>
      <c r="R255" s="13" t="s">
        <v>1647</v>
      </c>
      <c r="S255" s="13" t="s">
        <v>1631</v>
      </c>
      <c r="U255" s="13" t="s">
        <v>1647</v>
      </c>
      <c r="V255" s="13" t="s">
        <v>1631</v>
      </c>
      <c r="W255" s="13" t="s">
        <v>1802</v>
      </c>
    </row>
    <row r="256" spans="1:23" ht="120" x14ac:dyDescent="0.25">
      <c r="A256" s="13" t="s">
        <v>538</v>
      </c>
      <c r="B256" s="13" t="s">
        <v>1407</v>
      </c>
      <c r="C256" s="10" t="s">
        <v>1182</v>
      </c>
      <c r="D256" s="10" t="s">
        <v>57</v>
      </c>
      <c r="E256" s="13" t="s">
        <v>1027</v>
      </c>
      <c r="F256" s="13" t="s">
        <v>1159</v>
      </c>
      <c r="G256" s="13" t="s">
        <v>1408</v>
      </c>
      <c r="H256" s="11" t="s">
        <v>65</v>
      </c>
      <c r="I256" s="10" t="s">
        <v>1190</v>
      </c>
      <c r="J256" s="10" t="s">
        <v>1395</v>
      </c>
      <c r="L256" s="13" t="s">
        <v>1647</v>
      </c>
      <c r="M256" s="13" t="s">
        <v>1631</v>
      </c>
      <c r="N256" s="13" t="s">
        <v>1640</v>
      </c>
      <c r="O256" s="13" t="s">
        <v>1647</v>
      </c>
      <c r="P256" s="13" t="s">
        <v>1631</v>
      </c>
      <c r="R256" s="13" t="s">
        <v>1647</v>
      </c>
      <c r="S256" s="13" t="s">
        <v>1631</v>
      </c>
      <c r="U256" s="13" t="s">
        <v>1647</v>
      </c>
      <c r="V256" s="13" t="s">
        <v>1631</v>
      </c>
      <c r="W256" s="13" t="s">
        <v>1802</v>
      </c>
    </row>
    <row r="257" spans="1:23" ht="120" x14ac:dyDescent="0.25">
      <c r="A257" s="13" t="s">
        <v>539</v>
      </c>
      <c r="B257" s="13" t="s">
        <v>1409</v>
      </c>
      <c r="C257" s="10" t="s">
        <v>1182</v>
      </c>
      <c r="D257" s="10" t="s">
        <v>57</v>
      </c>
      <c r="E257" s="13" t="s">
        <v>1027</v>
      </c>
      <c r="F257" s="13" t="s">
        <v>1160</v>
      </c>
      <c r="G257" s="13" t="s">
        <v>1410</v>
      </c>
      <c r="H257" s="11" t="s">
        <v>65</v>
      </c>
      <c r="I257" s="10" t="s">
        <v>1190</v>
      </c>
      <c r="J257" s="10" t="s">
        <v>1395</v>
      </c>
      <c r="L257" s="13" t="s">
        <v>1647</v>
      </c>
      <c r="M257" s="13" t="s">
        <v>1631</v>
      </c>
      <c r="N257" s="13" t="s">
        <v>1640</v>
      </c>
      <c r="O257" s="13" t="s">
        <v>1647</v>
      </c>
      <c r="P257" s="13" t="s">
        <v>1631</v>
      </c>
      <c r="R257" s="13" t="s">
        <v>1647</v>
      </c>
      <c r="S257" s="13" t="s">
        <v>1631</v>
      </c>
      <c r="U257" s="13" t="s">
        <v>1647</v>
      </c>
      <c r="V257" s="13" t="s">
        <v>1631</v>
      </c>
      <c r="W257" s="13" t="s">
        <v>1802</v>
      </c>
    </row>
    <row r="258" spans="1:23" ht="120" x14ac:dyDescent="0.25">
      <c r="A258" s="13" t="s">
        <v>540</v>
      </c>
      <c r="B258" s="13" t="s">
        <v>1411</v>
      </c>
      <c r="C258" s="10" t="s">
        <v>1182</v>
      </c>
      <c r="D258" s="10" t="s">
        <v>57</v>
      </c>
      <c r="E258" s="13" t="s">
        <v>1027</v>
      </c>
      <c r="F258" s="13" t="s">
        <v>1161</v>
      </c>
      <c r="G258" s="13" t="s">
        <v>1412</v>
      </c>
      <c r="H258" s="11" t="s">
        <v>65</v>
      </c>
      <c r="I258" s="10" t="s">
        <v>1190</v>
      </c>
      <c r="J258" s="10" t="s">
        <v>1400</v>
      </c>
      <c r="L258" s="13" t="s">
        <v>1647</v>
      </c>
      <c r="M258" s="13" t="s">
        <v>1631</v>
      </c>
      <c r="N258" s="13" t="s">
        <v>1640</v>
      </c>
      <c r="O258" s="13" t="s">
        <v>1647</v>
      </c>
      <c r="P258" s="13" t="s">
        <v>1631</v>
      </c>
      <c r="R258" s="13" t="s">
        <v>1647</v>
      </c>
      <c r="S258" s="13" t="s">
        <v>1631</v>
      </c>
      <c r="U258" s="13" t="s">
        <v>1647</v>
      </c>
      <c r="V258" s="13" t="s">
        <v>1631</v>
      </c>
      <c r="W258" s="13" t="s">
        <v>1802</v>
      </c>
    </row>
    <row r="259" spans="1:23" ht="120" x14ac:dyDescent="0.25">
      <c r="A259" s="13" t="s">
        <v>541</v>
      </c>
      <c r="B259" s="13" t="s">
        <v>1413</v>
      </c>
      <c r="C259" s="10" t="s">
        <v>1182</v>
      </c>
      <c r="D259" s="10" t="s">
        <v>57</v>
      </c>
      <c r="E259" s="13" t="s">
        <v>1027</v>
      </c>
      <c r="F259" s="13" t="s">
        <v>1162</v>
      </c>
      <c r="G259" s="13" t="s">
        <v>1414</v>
      </c>
      <c r="H259" s="11" t="s">
        <v>65</v>
      </c>
      <c r="I259" s="10" t="s">
        <v>1190</v>
      </c>
      <c r="J259" s="10" t="s">
        <v>1400</v>
      </c>
      <c r="L259" s="13" t="s">
        <v>1647</v>
      </c>
      <c r="M259" s="13" t="s">
        <v>1631</v>
      </c>
      <c r="N259" s="13" t="s">
        <v>1640</v>
      </c>
      <c r="O259" s="13" t="s">
        <v>1647</v>
      </c>
      <c r="P259" s="13" t="s">
        <v>1631</v>
      </c>
      <c r="R259" s="13" t="s">
        <v>1647</v>
      </c>
      <c r="S259" s="13" t="s">
        <v>1631</v>
      </c>
      <c r="U259" s="13" t="s">
        <v>1647</v>
      </c>
      <c r="V259" s="13" t="s">
        <v>1631</v>
      </c>
      <c r="W259" s="13" t="s">
        <v>1802</v>
      </c>
    </row>
    <row r="260" spans="1:23" ht="120" x14ac:dyDescent="0.25">
      <c r="A260" s="13" t="s">
        <v>542</v>
      </c>
      <c r="B260" s="13" t="s">
        <v>1415</v>
      </c>
      <c r="C260" s="10" t="s">
        <v>1182</v>
      </c>
      <c r="D260" s="10" t="s">
        <v>57</v>
      </c>
      <c r="E260" s="13" t="s">
        <v>1028</v>
      </c>
      <c r="F260" s="13" t="s">
        <v>1151</v>
      </c>
      <c r="G260" s="13" t="s">
        <v>1389</v>
      </c>
      <c r="H260" s="11" t="s">
        <v>65</v>
      </c>
      <c r="I260" s="10" t="s">
        <v>1190</v>
      </c>
      <c r="J260" s="10" t="s">
        <v>1390</v>
      </c>
      <c r="L260" s="13" t="s">
        <v>1647</v>
      </c>
      <c r="M260" s="13" t="s">
        <v>1631</v>
      </c>
      <c r="N260" s="13" t="s">
        <v>1640</v>
      </c>
      <c r="O260" s="13" t="s">
        <v>1647</v>
      </c>
      <c r="P260" s="13" t="s">
        <v>1631</v>
      </c>
      <c r="R260" s="13" t="s">
        <v>1647</v>
      </c>
      <c r="S260" s="13" t="s">
        <v>1631</v>
      </c>
      <c r="U260" s="13" t="s">
        <v>1647</v>
      </c>
      <c r="V260" s="13" t="s">
        <v>1631</v>
      </c>
      <c r="W260" s="13"/>
    </row>
    <row r="261" spans="1:23" ht="120" x14ac:dyDescent="0.25">
      <c r="A261" s="13" t="s">
        <v>543</v>
      </c>
      <c r="B261" s="13" t="s">
        <v>1416</v>
      </c>
      <c r="C261" s="10" t="s">
        <v>1182</v>
      </c>
      <c r="D261" s="10" t="s">
        <v>57</v>
      </c>
      <c r="E261" s="13" t="s">
        <v>1028</v>
      </c>
      <c r="F261" s="13" t="s">
        <v>1152</v>
      </c>
      <c r="G261" s="13" t="s">
        <v>1392</v>
      </c>
      <c r="H261" s="11" t="s">
        <v>65</v>
      </c>
      <c r="I261" s="10" t="s">
        <v>1190</v>
      </c>
      <c r="J261" s="10" t="s">
        <v>1390</v>
      </c>
      <c r="L261" s="13" t="s">
        <v>1647</v>
      </c>
      <c r="M261" s="13" t="s">
        <v>1631</v>
      </c>
      <c r="N261" s="13" t="s">
        <v>1640</v>
      </c>
      <c r="O261" s="13" t="s">
        <v>1647</v>
      </c>
      <c r="P261" s="13" t="s">
        <v>1631</v>
      </c>
      <c r="R261" s="13" t="s">
        <v>1647</v>
      </c>
      <c r="S261" s="13" t="s">
        <v>1631</v>
      </c>
      <c r="U261" s="13" t="s">
        <v>1647</v>
      </c>
      <c r="V261" s="13" t="s">
        <v>1631</v>
      </c>
      <c r="W261" s="13"/>
    </row>
    <row r="262" spans="1:23" ht="120" x14ac:dyDescent="0.25">
      <c r="A262" s="13" t="s">
        <v>544</v>
      </c>
      <c r="B262" s="13" t="s">
        <v>1417</v>
      </c>
      <c r="C262" s="10" t="s">
        <v>1182</v>
      </c>
      <c r="D262" s="10" t="s">
        <v>57</v>
      </c>
      <c r="E262" s="13" t="s">
        <v>1028</v>
      </c>
      <c r="F262" s="13" t="s">
        <v>1153</v>
      </c>
      <c r="G262" s="13" t="s">
        <v>1394</v>
      </c>
      <c r="H262" s="11" t="s">
        <v>65</v>
      </c>
      <c r="I262" s="10" t="s">
        <v>1190</v>
      </c>
      <c r="J262" s="10" t="s">
        <v>1395</v>
      </c>
      <c r="L262" s="13" t="s">
        <v>1647</v>
      </c>
      <c r="M262" s="13" t="s">
        <v>1631</v>
      </c>
      <c r="N262" s="13" t="s">
        <v>1640</v>
      </c>
      <c r="O262" s="13" t="s">
        <v>1647</v>
      </c>
      <c r="P262" s="13" t="s">
        <v>1631</v>
      </c>
      <c r="R262" s="13" t="s">
        <v>1647</v>
      </c>
      <c r="S262" s="13" t="s">
        <v>1631</v>
      </c>
      <c r="U262" s="13" t="s">
        <v>1647</v>
      </c>
      <c r="V262" s="13" t="s">
        <v>1631</v>
      </c>
      <c r="W262" s="13"/>
    </row>
    <row r="263" spans="1:23" ht="120" x14ac:dyDescent="0.25">
      <c r="A263" s="13" t="s">
        <v>545</v>
      </c>
      <c r="B263" s="13" t="s">
        <v>1418</v>
      </c>
      <c r="C263" s="10" t="s">
        <v>1182</v>
      </c>
      <c r="D263" s="10" t="s">
        <v>57</v>
      </c>
      <c r="E263" s="13" t="s">
        <v>1028</v>
      </c>
      <c r="F263" s="13" t="s">
        <v>1154</v>
      </c>
      <c r="G263" s="13" t="s">
        <v>1397</v>
      </c>
      <c r="H263" s="11" t="s">
        <v>65</v>
      </c>
      <c r="I263" s="10" t="s">
        <v>1190</v>
      </c>
      <c r="J263" s="10" t="s">
        <v>1395</v>
      </c>
      <c r="L263" s="13" t="s">
        <v>1647</v>
      </c>
      <c r="M263" s="13" t="s">
        <v>1631</v>
      </c>
      <c r="N263" s="13" t="s">
        <v>1640</v>
      </c>
      <c r="O263" s="13" t="s">
        <v>1647</v>
      </c>
      <c r="P263" s="13" t="s">
        <v>1631</v>
      </c>
      <c r="R263" s="13" t="s">
        <v>1647</v>
      </c>
      <c r="S263" s="13" t="s">
        <v>1631</v>
      </c>
      <c r="U263" s="13" t="s">
        <v>1647</v>
      </c>
      <c r="V263" s="13" t="s">
        <v>1631</v>
      </c>
      <c r="W263" s="13"/>
    </row>
    <row r="264" spans="1:23" ht="120" x14ac:dyDescent="0.25">
      <c r="A264" s="13" t="s">
        <v>546</v>
      </c>
      <c r="B264" s="13" t="s">
        <v>1419</v>
      </c>
      <c r="C264" s="10" t="s">
        <v>1182</v>
      </c>
      <c r="D264" s="10" t="s">
        <v>57</v>
      </c>
      <c r="E264" s="13" t="s">
        <v>1028</v>
      </c>
      <c r="F264" s="13" t="s">
        <v>1155</v>
      </c>
      <c r="G264" s="13" t="s">
        <v>1399</v>
      </c>
      <c r="H264" s="11" t="s">
        <v>65</v>
      </c>
      <c r="I264" s="10" t="s">
        <v>1190</v>
      </c>
      <c r="J264" s="10" t="s">
        <v>1400</v>
      </c>
      <c r="L264" s="13" t="s">
        <v>1647</v>
      </c>
      <c r="M264" s="13" t="s">
        <v>1631</v>
      </c>
      <c r="N264" s="13" t="s">
        <v>1640</v>
      </c>
      <c r="O264" s="13" t="s">
        <v>1647</v>
      </c>
      <c r="P264" s="13" t="s">
        <v>1631</v>
      </c>
      <c r="R264" s="13" t="s">
        <v>1647</v>
      </c>
      <c r="S264" s="13" t="s">
        <v>1631</v>
      </c>
      <c r="U264" s="13" t="s">
        <v>1647</v>
      </c>
      <c r="V264" s="13" t="s">
        <v>1631</v>
      </c>
      <c r="W264" s="13"/>
    </row>
    <row r="265" spans="1:23" ht="120" x14ac:dyDescent="0.25">
      <c r="A265" s="13" t="s">
        <v>547</v>
      </c>
      <c r="B265" s="13" t="s">
        <v>1420</v>
      </c>
      <c r="C265" s="10" t="s">
        <v>1182</v>
      </c>
      <c r="D265" s="10" t="s">
        <v>57</v>
      </c>
      <c r="E265" s="13" t="s">
        <v>1028</v>
      </c>
      <c r="F265" s="13" t="s">
        <v>1156</v>
      </c>
      <c r="G265" s="13" t="s">
        <v>1402</v>
      </c>
      <c r="H265" s="11" t="s">
        <v>65</v>
      </c>
      <c r="I265" s="10" t="s">
        <v>1190</v>
      </c>
      <c r="J265" s="10" t="s">
        <v>1400</v>
      </c>
      <c r="L265" s="13" t="s">
        <v>1647</v>
      </c>
      <c r="M265" s="13" t="s">
        <v>1631</v>
      </c>
      <c r="N265" s="13" t="s">
        <v>1640</v>
      </c>
      <c r="O265" s="13" t="s">
        <v>1647</v>
      </c>
      <c r="P265" s="13" t="s">
        <v>1631</v>
      </c>
      <c r="R265" s="13" t="s">
        <v>1647</v>
      </c>
      <c r="S265" s="13" t="s">
        <v>1631</v>
      </c>
      <c r="U265" s="13" t="s">
        <v>1647</v>
      </c>
      <c r="V265" s="13" t="s">
        <v>1631</v>
      </c>
      <c r="W265" s="13"/>
    </row>
    <row r="266" spans="1:23" ht="120" x14ac:dyDescent="0.25">
      <c r="A266" s="13" t="s">
        <v>548</v>
      </c>
      <c r="B266" s="13" t="s">
        <v>1421</v>
      </c>
      <c r="C266" s="10" t="s">
        <v>1182</v>
      </c>
      <c r="D266" s="10" t="s">
        <v>57</v>
      </c>
      <c r="E266" s="13" t="s">
        <v>1029</v>
      </c>
      <c r="F266" s="13" t="s">
        <v>1157</v>
      </c>
      <c r="G266" s="13" t="s">
        <v>1404</v>
      </c>
      <c r="H266" s="11" t="s">
        <v>65</v>
      </c>
      <c r="I266" s="10" t="s">
        <v>1190</v>
      </c>
      <c r="J266" s="10" t="s">
        <v>1390</v>
      </c>
      <c r="L266" s="13" t="s">
        <v>1647</v>
      </c>
      <c r="M266" s="13" t="s">
        <v>1631</v>
      </c>
      <c r="N266" s="13" t="s">
        <v>1640</v>
      </c>
      <c r="O266" s="13" t="s">
        <v>1647</v>
      </c>
      <c r="P266" s="13" t="s">
        <v>1631</v>
      </c>
      <c r="R266" s="13" t="s">
        <v>1647</v>
      </c>
      <c r="S266" s="13" t="s">
        <v>1631</v>
      </c>
      <c r="U266" s="13" t="s">
        <v>1647</v>
      </c>
      <c r="V266" s="13" t="s">
        <v>1631</v>
      </c>
      <c r="W266" s="13"/>
    </row>
    <row r="267" spans="1:23" ht="120" x14ac:dyDescent="0.25">
      <c r="A267" s="13" t="s">
        <v>549</v>
      </c>
      <c r="B267" s="13" t="s">
        <v>1422</v>
      </c>
      <c r="C267" s="10" t="s">
        <v>1182</v>
      </c>
      <c r="D267" s="10" t="s">
        <v>57</v>
      </c>
      <c r="E267" s="13" t="s">
        <v>1029</v>
      </c>
      <c r="F267" s="13" t="s">
        <v>1158</v>
      </c>
      <c r="G267" s="13" t="s">
        <v>1406</v>
      </c>
      <c r="H267" s="11" t="s">
        <v>65</v>
      </c>
      <c r="I267" s="10" t="s">
        <v>1190</v>
      </c>
      <c r="J267" s="10" t="s">
        <v>1390</v>
      </c>
      <c r="L267" s="13" t="s">
        <v>1647</v>
      </c>
      <c r="M267" s="13" t="s">
        <v>1631</v>
      </c>
      <c r="N267" s="13" t="s">
        <v>1640</v>
      </c>
      <c r="O267" s="13" t="s">
        <v>1647</v>
      </c>
      <c r="P267" s="13" t="s">
        <v>1631</v>
      </c>
      <c r="R267" s="13" t="s">
        <v>1647</v>
      </c>
      <c r="S267" s="13" t="s">
        <v>1631</v>
      </c>
      <c r="U267" s="13" t="s">
        <v>1647</v>
      </c>
      <c r="V267" s="13" t="s">
        <v>1631</v>
      </c>
      <c r="W267" s="13"/>
    </row>
    <row r="268" spans="1:23" ht="120" x14ac:dyDescent="0.25">
      <c r="A268" s="13" t="s">
        <v>550</v>
      </c>
      <c r="B268" s="13" t="s">
        <v>1423</v>
      </c>
      <c r="C268" s="10" t="s">
        <v>1182</v>
      </c>
      <c r="D268" s="10" t="s">
        <v>57</v>
      </c>
      <c r="E268" s="13" t="s">
        <v>1029</v>
      </c>
      <c r="F268" s="13" t="s">
        <v>1159</v>
      </c>
      <c r="G268" s="13" t="s">
        <v>1408</v>
      </c>
      <c r="H268" s="11" t="s">
        <v>65</v>
      </c>
      <c r="I268" s="10" t="s">
        <v>1190</v>
      </c>
      <c r="J268" s="10" t="s">
        <v>1395</v>
      </c>
      <c r="L268" s="13" t="s">
        <v>1647</v>
      </c>
      <c r="M268" s="13" t="s">
        <v>1631</v>
      </c>
      <c r="N268" s="13" t="s">
        <v>1640</v>
      </c>
      <c r="O268" s="13" t="s">
        <v>1647</v>
      </c>
      <c r="P268" s="13" t="s">
        <v>1631</v>
      </c>
      <c r="R268" s="13" t="s">
        <v>1647</v>
      </c>
      <c r="S268" s="13" t="s">
        <v>1631</v>
      </c>
      <c r="U268" s="13" t="s">
        <v>1647</v>
      </c>
      <c r="V268" s="13" t="s">
        <v>1631</v>
      </c>
      <c r="W268" s="13"/>
    </row>
    <row r="269" spans="1:23" ht="120" x14ac:dyDescent="0.25">
      <c r="A269" s="13" t="s">
        <v>551</v>
      </c>
      <c r="B269" s="13" t="s">
        <v>1424</v>
      </c>
      <c r="C269" s="10" t="s">
        <v>1182</v>
      </c>
      <c r="D269" s="10" t="s">
        <v>57</v>
      </c>
      <c r="E269" s="13" t="s">
        <v>1029</v>
      </c>
      <c r="F269" s="13" t="s">
        <v>1160</v>
      </c>
      <c r="G269" s="13" t="s">
        <v>1410</v>
      </c>
      <c r="H269" s="11" t="s">
        <v>65</v>
      </c>
      <c r="I269" s="10" t="s">
        <v>1190</v>
      </c>
      <c r="J269" s="10" t="s">
        <v>1395</v>
      </c>
      <c r="L269" s="13" t="s">
        <v>1647</v>
      </c>
      <c r="M269" s="13" t="s">
        <v>1631</v>
      </c>
      <c r="N269" s="13" t="s">
        <v>1640</v>
      </c>
      <c r="O269" s="13" t="s">
        <v>1647</v>
      </c>
      <c r="P269" s="13" t="s">
        <v>1631</v>
      </c>
      <c r="R269" s="13" t="s">
        <v>1647</v>
      </c>
      <c r="S269" s="13" t="s">
        <v>1631</v>
      </c>
      <c r="U269" s="13" t="s">
        <v>1647</v>
      </c>
      <c r="V269" s="13" t="s">
        <v>1631</v>
      </c>
      <c r="W269" s="13"/>
    </row>
    <row r="270" spans="1:23" ht="120" x14ac:dyDescent="0.25">
      <c r="A270" s="13" t="s">
        <v>552</v>
      </c>
      <c r="B270" s="13" t="s">
        <v>1425</v>
      </c>
      <c r="C270" s="10" t="s">
        <v>1182</v>
      </c>
      <c r="D270" s="10" t="s">
        <v>57</v>
      </c>
      <c r="E270" s="13" t="s">
        <v>1029</v>
      </c>
      <c r="F270" s="13" t="s">
        <v>1161</v>
      </c>
      <c r="G270" s="13" t="s">
        <v>1412</v>
      </c>
      <c r="H270" s="11" t="s">
        <v>65</v>
      </c>
      <c r="I270" s="10" t="s">
        <v>1190</v>
      </c>
      <c r="J270" s="10" t="s">
        <v>1400</v>
      </c>
      <c r="L270" s="13" t="s">
        <v>1647</v>
      </c>
      <c r="M270" s="13" t="s">
        <v>1631</v>
      </c>
      <c r="N270" s="13" t="s">
        <v>1640</v>
      </c>
      <c r="O270" s="13" t="s">
        <v>1647</v>
      </c>
      <c r="P270" s="13" t="s">
        <v>1631</v>
      </c>
      <c r="R270" s="13" t="s">
        <v>1647</v>
      </c>
      <c r="S270" s="13" t="s">
        <v>1631</v>
      </c>
      <c r="U270" s="13" t="s">
        <v>1647</v>
      </c>
      <c r="V270" s="13" t="s">
        <v>1631</v>
      </c>
      <c r="W270" s="13"/>
    </row>
    <row r="271" spans="1:23" ht="120" x14ac:dyDescent="0.25">
      <c r="A271" s="13" t="s">
        <v>553</v>
      </c>
      <c r="B271" s="13" t="s">
        <v>1426</v>
      </c>
      <c r="C271" s="10" t="s">
        <v>1182</v>
      </c>
      <c r="D271" s="10" t="s">
        <v>57</v>
      </c>
      <c r="E271" s="13" t="s">
        <v>1029</v>
      </c>
      <c r="F271" s="13" t="s">
        <v>1162</v>
      </c>
      <c r="G271" s="13" t="s">
        <v>1414</v>
      </c>
      <c r="H271" s="11" t="s">
        <v>65</v>
      </c>
      <c r="I271" s="10" t="s">
        <v>1190</v>
      </c>
      <c r="J271" s="10" t="s">
        <v>1400</v>
      </c>
      <c r="L271" s="13" t="s">
        <v>1647</v>
      </c>
      <c r="M271" s="13" t="s">
        <v>1631</v>
      </c>
      <c r="N271" s="13" t="s">
        <v>1640</v>
      </c>
      <c r="O271" s="13" t="s">
        <v>1647</v>
      </c>
      <c r="P271" s="13" t="s">
        <v>1631</v>
      </c>
      <c r="R271" s="13" t="s">
        <v>1647</v>
      </c>
      <c r="S271" s="13" t="s">
        <v>1631</v>
      </c>
      <c r="U271" s="13" t="s">
        <v>1647</v>
      </c>
      <c r="V271" s="13" t="s">
        <v>1631</v>
      </c>
      <c r="W271" s="13"/>
    </row>
    <row r="272" spans="1:23" ht="120" x14ac:dyDescent="0.25">
      <c r="A272" s="13" t="s">
        <v>554</v>
      </c>
      <c r="B272" s="13" t="s">
        <v>1427</v>
      </c>
      <c r="C272" s="10" t="s">
        <v>1182</v>
      </c>
      <c r="D272" s="10" t="s">
        <v>57</v>
      </c>
      <c r="E272" s="13" t="s">
        <v>1030</v>
      </c>
      <c r="F272" s="13" t="s">
        <v>1163</v>
      </c>
      <c r="G272" s="13" t="s">
        <v>1428</v>
      </c>
      <c r="H272" s="11" t="s">
        <v>65</v>
      </c>
      <c r="I272" s="10" t="s">
        <v>1190</v>
      </c>
      <c r="J272" s="10" t="s">
        <v>1429</v>
      </c>
      <c r="L272" s="13" t="s">
        <v>1647</v>
      </c>
      <c r="M272" s="13" t="s">
        <v>1631</v>
      </c>
      <c r="N272" s="13" t="s">
        <v>1640</v>
      </c>
      <c r="O272" s="13" t="s">
        <v>1647</v>
      </c>
      <c r="P272" s="13" t="s">
        <v>1631</v>
      </c>
      <c r="R272" s="13" t="s">
        <v>1647</v>
      </c>
      <c r="S272" s="13" t="s">
        <v>1631</v>
      </c>
      <c r="U272" s="13" t="s">
        <v>1647</v>
      </c>
      <c r="V272" s="13" t="s">
        <v>1631</v>
      </c>
      <c r="W272" s="13"/>
    </row>
    <row r="273" spans="1:23" ht="120" x14ac:dyDescent="0.25">
      <c r="A273" s="13" t="s">
        <v>555</v>
      </c>
      <c r="B273" s="13" t="s">
        <v>1430</v>
      </c>
      <c r="C273" s="10" t="s">
        <v>1182</v>
      </c>
      <c r="D273" s="10" t="s">
        <v>57</v>
      </c>
      <c r="E273" s="13" t="s">
        <v>1030</v>
      </c>
      <c r="F273" s="13" t="s">
        <v>1164</v>
      </c>
      <c r="G273" s="13" t="s">
        <v>1431</v>
      </c>
      <c r="H273" s="11" t="s">
        <v>65</v>
      </c>
      <c r="I273" s="10" t="s">
        <v>1190</v>
      </c>
      <c r="J273" s="10" t="s">
        <v>1429</v>
      </c>
      <c r="L273" s="13" t="s">
        <v>1647</v>
      </c>
      <c r="M273" s="13" t="s">
        <v>1631</v>
      </c>
      <c r="N273" s="13" t="s">
        <v>1640</v>
      </c>
      <c r="O273" s="13" t="s">
        <v>1647</v>
      </c>
      <c r="P273" s="13" t="s">
        <v>1631</v>
      </c>
      <c r="R273" s="13" t="s">
        <v>1647</v>
      </c>
      <c r="S273" s="13" t="s">
        <v>1631</v>
      </c>
      <c r="U273" s="13" t="s">
        <v>1647</v>
      </c>
      <c r="V273" s="13" t="s">
        <v>1631</v>
      </c>
      <c r="W273" s="13"/>
    </row>
    <row r="274" spans="1:23" ht="120" x14ac:dyDescent="0.25">
      <c r="A274" s="13" t="s">
        <v>556</v>
      </c>
      <c r="B274" s="13" t="s">
        <v>1432</v>
      </c>
      <c r="C274" s="10" t="s">
        <v>1182</v>
      </c>
      <c r="D274" s="10" t="s">
        <v>57</v>
      </c>
      <c r="E274" s="13" t="s">
        <v>1030</v>
      </c>
      <c r="F274" s="13" t="s">
        <v>1165</v>
      </c>
      <c r="G274" s="13" t="s">
        <v>1433</v>
      </c>
      <c r="H274" s="11" t="s">
        <v>65</v>
      </c>
      <c r="I274" s="10" t="s">
        <v>1190</v>
      </c>
      <c r="J274" s="10" t="s">
        <v>1434</v>
      </c>
      <c r="L274" s="13" t="s">
        <v>1647</v>
      </c>
      <c r="M274" s="13" t="s">
        <v>1631</v>
      </c>
      <c r="N274" s="13" t="s">
        <v>1640</v>
      </c>
      <c r="O274" s="13" t="s">
        <v>1647</v>
      </c>
      <c r="P274" s="13" t="s">
        <v>1631</v>
      </c>
      <c r="R274" s="13" t="s">
        <v>1647</v>
      </c>
      <c r="S274" s="13" t="s">
        <v>1631</v>
      </c>
      <c r="U274" s="13" t="s">
        <v>1647</v>
      </c>
      <c r="V274" s="13" t="s">
        <v>1631</v>
      </c>
      <c r="W274" s="13"/>
    </row>
    <row r="275" spans="1:23" ht="120" x14ac:dyDescent="0.25">
      <c r="A275" s="13" t="s">
        <v>557</v>
      </c>
      <c r="B275" s="13" t="s">
        <v>1435</v>
      </c>
      <c r="C275" s="10" t="s">
        <v>1182</v>
      </c>
      <c r="D275" s="10" t="s">
        <v>57</v>
      </c>
      <c r="E275" s="13" t="s">
        <v>1030</v>
      </c>
      <c r="F275" s="13" t="s">
        <v>1166</v>
      </c>
      <c r="G275" s="13" t="s">
        <v>1436</v>
      </c>
      <c r="H275" s="11" t="s">
        <v>65</v>
      </c>
      <c r="I275" s="10" t="s">
        <v>1190</v>
      </c>
      <c r="J275" s="10" t="s">
        <v>1434</v>
      </c>
      <c r="L275" s="13" t="s">
        <v>1647</v>
      </c>
      <c r="M275" s="13" t="s">
        <v>1631</v>
      </c>
      <c r="N275" s="13" t="s">
        <v>1640</v>
      </c>
      <c r="O275" s="13" t="s">
        <v>1647</v>
      </c>
      <c r="P275" s="13" t="s">
        <v>1631</v>
      </c>
      <c r="R275" s="13" t="s">
        <v>1647</v>
      </c>
      <c r="S275" s="13" t="s">
        <v>1631</v>
      </c>
      <c r="U275" s="13" t="s">
        <v>1647</v>
      </c>
      <c r="V275" s="13" t="s">
        <v>1631</v>
      </c>
      <c r="W275" s="13"/>
    </row>
    <row r="276" spans="1:23" ht="120" x14ac:dyDescent="0.25">
      <c r="A276" s="13" t="s">
        <v>558</v>
      </c>
      <c r="B276" s="13" t="s">
        <v>1437</v>
      </c>
      <c r="C276" s="10" t="s">
        <v>1182</v>
      </c>
      <c r="D276" s="10" t="s">
        <v>57</v>
      </c>
      <c r="E276" s="13" t="s">
        <v>1030</v>
      </c>
      <c r="F276" s="13" t="s">
        <v>1167</v>
      </c>
      <c r="G276" s="13" t="s">
        <v>1438</v>
      </c>
      <c r="H276" s="11" t="s">
        <v>65</v>
      </c>
      <c r="I276" s="10" t="s">
        <v>1190</v>
      </c>
      <c r="J276" s="10" t="s">
        <v>1439</v>
      </c>
      <c r="L276" s="13" t="s">
        <v>1647</v>
      </c>
      <c r="M276" s="13" t="s">
        <v>1631</v>
      </c>
      <c r="N276" s="13" t="s">
        <v>1640</v>
      </c>
      <c r="O276" s="13" t="s">
        <v>1647</v>
      </c>
      <c r="P276" s="13" t="s">
        <v>1631</v>
      </c>
      <c r="R276" s="13" t="s">
        <v>1647</v>
      </c>
      <c r="S276" s="13" t="s">
        <v>1631</v>
      </c>
      <c r="U276" s="13" t="s">
        <v>1647</v>
      </c>
      <c r="V276" s="13" t="s">
        <v>1631</v>
      </c>
      <c r="W276" s="13"/>
    </row>
    <row r="277" spans="1:23" ht="120" x14ac:dyDescent="0.25">
      <c r="A277" s="13" t="s">
        <v>559</v>
      </c>
      <c r="B277" s="13" t="s">
        <v>1440</v>
      </c>
      <c r="C277" s="10" t="s">
        <v>1182</v>
      </c>
      <c r="D277" s="10" t="s">
        <v>57</v>
      </c>
      <c r="E277" s="13" t="s">
        <v>1030</v>
      </c>
      <c r="F277" s="13" t="s">
        <v>1168</v>
      </c>
      <c r="G277" s="13" t="s">
        <v>1441</v>
      </c>
      <c r="H277" s="11" t="s">
        <v>65</v>
      </c>
      <c r="I277" s="10" t="s">
        <v>1190</v>
      </c>
      <c r="J277" s="10" t="s">
        <v>1439</v>
      </c>
      <c r="L277" s="13" t="s">
        <v>1647</v>
      </c>
      <c r="M277" s="13" t="s">
        <v>1631</v>
      </c>
      <c r="N277" s="13" t="s">
        <v>1640</v>
      </c>
      <c r="O277" s="13" t="s">
        <v>1647</v>
      </c>
      <c r="P277" s="13" t="s">
        <v>1631</v>
      </c>
      <c r="R277" s="13" t="s">
        <v>1647</v>
      </c>
      <c r="S277" s="13" t="s">
        <v>1631</v>
      </c>
      <c r="U277" s="13" t="s">
        <v>1647</v>
      </c>
      <c r="V277" s="13" t="s">
        <v>1631</v>
      </c>
      <c r="W277" s="13"/>
    </row>
    <row r="278" spans="1:23" ht="120" x14ac:dyDescent="0.25">
      <c r="A278" s="13" t="s">
        <v>560</v>
      </c>
      <c r="B278" s="13" t="s">
        <v>1442</v>
      </c>
      <c r="C278" s="10" t="s">
        <v>1182</v>
      </c>
      <c r="D278" s="10" t="s">
        <v>57</v>
      </c>
      <c r="E278" s="13" t="s">
        <v>1031</v>
      </c>
      <c r="F278" s="13" t="s">
        <v>1163</v>
      </c>
      <c r="G278" s="13" t="s">
        <v>1428</v>
      </c>
      <c r="H278" s="11" t="s">
        <v>65</v>
      </c>
      <c r="I278" s="10" t="s">
        <v>1190</v>
      </c>
      <c r="J278" s="10" t="s">
        <v>1429</v>
      </c>
      <c r="L278" s="13" t="s">
        <v>1647</v>
      </c>
      <c r="M278" s="13" t="s">
        <v>1631</v>
      </c>
      <c r="N278" s="13" t="s">
        <v>1640</v>
      </c>
      <c r="O278" s="13" t="s">
        <v>1647</v>
      </c>
      <c r="P278" s="13" t="s">
        <v>1631</v>
      </c>
      <c r="R278" s="13" t="s">
        <v>1647</v>
      </c>
      <c r="S278" s="13" t="s">
        <v>1631</v>
      </c>
      <c r="U278" s="13" t="s">
        <v>1647</v>
      </c>
      <c r="V278" s="13" t="s">
        <v>1631</v>
      </c>
      <c r="W278" s="13"/>
    </row>
    <row r="279" spans="1:23" ht="120" x14ac:dyDescent="0.25">
      <c r="A279" s="13" t="s">
        <v>561</v>
      </c>
      <c r="B279" s="13" t="s">
        <v>1443</v>
      </c>
      <c r="C279" s="10" t="s">
        <v>1182</v>
      </c>
      <c r="D279" s="10" t="s">
        <v>57</v>
      </c>
      <c r="E279" s="13" t="s">
        <v>1031</v>
      </c>
      <c r="F279" s="13" t="s">
        <v>1164</v>
      </c>
      <c r="G279" s="13" t="s">
        <v>1431</v>
      </c>
      <c r="H279" s="11" t="s">
        <v>65</v>
      </c>
      <c r="I279" s="10" t="s">
        <v>1190</v>
      </c>
      <c r="J279" s="10" t="s">
        <v>1429</v>
      </c>
      <c r="L279" s="13" t="s">
        <v>1647</v>
      </c>
      <c r="M279" s="13" t="s">
        <v>1631</v>
      </c>
      <c r="N279" s="13" t="s">
        <v>1640</v>
      </c>
      <c r="O279" s="13" t="s">
        <v>1647</v>
      </c>
      <c r="P279" s="13" t="s">
        <v>1631</v>
      </c>
      <c r="R279" s="13" t="s">
        <v>1647</v>
      </c>
      <c r="S279" s="13" t="s">
        <v>1631</v>
      </c>
      <c r="U279" s="13" t="s">
        <v>1647</v>
      </c>
      <c r="V279" s="13" t="s">
        <v>1631</v>
      </c>
      <c r="W279" s="13"/>
    </row>
    <row r="280" spans="1:23" ht="120" x14ac:dyDescent="0.25">
      <c r="A280" s="13" t="s">
        <v>562</v>
      </c>
      <c r="B280" s="13" t="s">
        <v>1444</v>
      </c>
      <c r="C280" s="10" t="s">
        <v>1182</v>
      </c>
      <c r="D280" s="10" t="s">
        <v>57</v>
      </c>
      <c r="E280" s="13" t="s">
        <v>1031</v>
      </c>
      <c r="F280" s="13" t="s">
        <v>1165</v>
      </c>
      <c r="G280" s="13" t="s">
        <v>1433</v>
      </c>
      <c r="H280" s="11" t="s">
        <v>65</v>
      </c>
      <c r="I280" s="10" t="s">
        <v>1190</v>
      </c>
      <c r="J280" s="10" t="s">
        <v>1434</v>
      </c>
      <c r="L280" s="13" t="s">
        <v>1647</v>
      </c>
      <c r="M280" s="13" t="s">
        <v>1631</v>
      </c>
      <c r="N280" s="13" t="s">
        <v>1640</v>
      </c>
      <c r="O280" s="13" t="s">
        <v>1647</v>
      </c>
      <c r="P280" s="13" t="s">
        <v>1631</v>
      </c>
      <c r="R280" s="13" t="s">
        <v>1647</v>
      </c>
      <c r="S280" s="13" t="s">
        <v>1631</v>
      </c>
      <c r="U280" s="13" t="s">
        <v>1647</v>
      </c>
      <c r="V280" s="13" t="s">
        <v>1631</v>
      </c>
      <c r="W280" s="13"/>
    </row>
    <row r="281" spans="1:23" ht="120" x14ac:dyDescent="0.25">
      <c r="A281" s="13" t="s">
        <v>563</v>
      </c>
      <c r="B281" s="13" t="s">
        <v>1445</v>
      </c>
      <c r="C281" s="10" t="s">
        <v>1182</v>
      </c>
      <c r="D281" s="10" t="s">
        <v>57</v>
      </c>
      <c r="E281" s="13" t="s">
        <v>1031</v>
      </c>
      <c r="F281" s="13" t="s">
        <v>1166</v>
      </c>
      <c r="G281" s="13" t="s">
        <v>1436</v>
      </c>
      <c r="H281" s="11" t="s">
        <v>65</v>
      </c>
      <c r="I281" s="10" t="s">
        <v>1190</v>
      </c>
      <c r="J281" s="10" t="s">
        <v>1434</v>
      </c>
      <c r="L281" s="13" t="s">
        <v>1647</v>
      </c>
      <c r="M281" s="13" t="s">
        <v>1631</v>
      </c>
      <c r="N281" s="13" t="s">
        <v>1640</v>
      </c>
      <c r="O281" s="13" t="s">
        <v>1647</v>
      </c>
      <c r="P281" s="13" t="s">
        <v>1631</v>
      </c>
      <c r="R281" s="13" t="s">
        <v>1647</v>
      </c>
      <c r="S281" s="13" t="s">
        <v>1631</v>
      </c>
      <c r="U281" s="13" t="s">
        <v>1647</v>
      </c>
      <c r="V281" s="13" t="s">
        <v>1631</v>
      </c>
      <c r="W281" s="13"/>
    </row>
    <row r="282" spans="1:23" ht="120" x14ac:dyDescent="0.25">
      <c r="A282" s="13" t="s">
        <v>564</v>
      </c>
      <c r="B282" s="13" t="s">
        <v>1446</v>
      </c>
      <c r="C282" s="10" t="s">
        <v>1182</v>
      </c>
      <c r="D282" s="10" t="s">
        <v>57</v>
      </c>
      <c r="E282" s="13" t="s">
        <v>1031</v>
      </c>
      <c r="F282" s="13" t="s">
        <v>1167</v>
      </c>
      <c r="G282" s="13" t="s">
        <v>1438</v>
      </c>
      <c r="H282" s="11" t="s">
        <v>65</v>
      </c>
      <c r="I282" s="10" t="s">
        <v>1190</v>
      </c>
      <c r="J282" s="10" t="s">
        <v>1439</v>
      </c>
      <c r="L282" s="13" t="s">
        <v>1647</v>
      </c>
      <c r="M282" s="13" t="s">
        <v>1631</v>
      </c>
      <c r="N282" s="13" t="s">
        <v>1640</v>
      </c>
      <c r="O282" s="13" t="s">
        <v>1647</v>
      </c>
      <c r="P282" s="13" t="s">
        <v>1631</v>
      </c>
      <c r="R282" s="13" t="s">
        <v>1647</v>
      </c>
      <c r="S282" s="13" t="s">
        <v>1631</v>
      </c>
      <c r="U282" s="13" t="s">
        <v>1647</v>
      </c>
      <c r="V282" s="13" t="s">
        <v>1631</v>
      </c>
      <c r="W282" s="13"/>
    </row>
    <row r="283" spans="1:23" ht="120" x14ac:dyDescent="0.25">
      <c r="A283" s="13" t="s">
        <v>565</v>
      </c>
      <c r="B283" s="13" t="s">
        <v>1447</v>
      </c>
      <c r="C283" s="10" t="s">
        <v>1182</v>
      </c>
      <c r="D283" s="10" t="s">
        <v>57</v>
      </c>
      <c r="E283" s="13" t="s">
        <v>1031</v>
      </c>
      <c r="F283" s="13" t="s">
        <v>1168</v>
      </c>
      <c r="G283" s="13" t="s">
        <v>1441</v>
      </c>
      <c r="H283" s="11" t="s">
        <v>65</v>
      </c>
      <c r="I283" s="10" t="s">
        <v>1190</v>
      </c>
      <c r="J283" s="10" t="s">
        <v>1439</v>
      </c>
      <c r="L283" s="13" t="s">
        <v>1647</v>
      </c>
      <c r="M283" s="13" t="s">
        <v>1631</v>
      </c>
      <c r="N283" s="13" t="s">
        <v>1640</v>
      </c>
      <c r="O283" s="13" t="s">
        <v>1647</v>
      </c>
      <c r="P283" s="13" t="s">
        <v>1631</v>
      </c>
      <c r="R283" s="13" t="s">
        <v>1647</v>
      </c>
      <c r="S283" s="13" t="s">
        <v>1631</v>
      </c>
      <c r="U283" s="13" t="s">
        <v>1647</v>
      </c>
      <c r="V283" s="13" t="s">
        <v>1631</v>
      </c>
      <c r="W283" s="13"/>
    </row>
    <row r="284" spans="1:23" ht="120" x14ac:dyDescent="0.25">
      <c r="A284" s="13" t="s">
        <v>566</v>
      </c>
      <c r="B284" s="13" t="s">
        <v>1448</v>
      </c>
      <c r="C284" s="10" t="s">
        <v>1182</v>
      </c>
      <c r="D284" s="10" t="s">
        <v>57</v>
      </c>
      <c r="E284" s="13" t="s">
        <v>1032</v>
      </c>
      <c r="F284" s="13" t="s">
        <v>1169</v>
      </c>
      <c r="G284" s="13" t="s">
        <v>1449</v>
      </c>
      <c r="H284" s="11" t="s">
        <v>65</v>
      </c>
      <c r="I284" s="10" t="s">
        <v>1190</v>
      </c>
      <c r="J284" s="10" t="s">
        <v>1450</v>
      </c>
      <c r="L284" s="13" t="s">
        <v>1647</v>
      </c>
      <c r="M284" s="13" t="s">
        <v>1631</v>
      </c>
      <c r="N284" s="13" t="s">
        <v>1640</v>
      </c>
      <c r="O284" s="13" t="s">
        <v>1647</v>
      </c>
      <c r="P284" s="13" t="s">
        <v>1631</v>
      </c>
      <c r="R284" s="13" t="s">
        <v>1647</v>
      </c>
      <c r="S284" s="13" t="s">
        <v>1631</v>
      </c>
      <c r="U284" s="13" t="s">
        <v>1647</v>
      </c>
      <c r="V284" s="13" t="s">
        <v>1631</v>
      </c>
      <c r="W284" s="13"/>
    </row>
    <row r="285" spans="1:23" ht="120" x14ac:dyDescent="0.25">
      <c r="A285" s="13" t="s">
        <v>567</v>
      </c>
      <c r="B285" s="13" t="s">
        <v>1451</v>
      </c>
      <c r="C285" s="10" t="s">
        <v>1182</v>
      </c>
      <c r="D285" s="10" t="s">
        <v>57</v>
      </c>
      <c r="E285" s="13" t="s">
        <v>1032</v>
      </c>
      <c r="F285" s="13" t="s">
        <v>1170</v>
      </c>
      <c r="G285" s="13" t="s">
        <v>1452</v>
      </c>
      <c r="H285" s="11" t="s">
        <v>65</v>
      </c>
      <c r="I285" s="10" t="s">
        <v>1190</v>
      </c>
      <c r="J285" s="10" t="s">
        <v>1450</v>
      </c>
      <c r="L285" s="13" t="s">
        <v>1647</v>
      </c>
      <c r="M285" s="13" t="s">
        <v>1631</v>
      </c>
      <c r="N285" s="13" t="s">
        <v>1640</v>
      </c>
      <c r="O285" s="13" t="s">
        <v>1647</v>
      </c>
      <c r="P285" s="13" t="s">
        <v>1631</v>
      </c>
      <c r="R285" s="13" t="s">
        <v>1647</v>
      </c>
      <c r="S285" s="13" t="s">
        <v>1631</v>
      </c>
      <c r="U285" s="13" t="s">
        <v>1647</v>
      </c>
      <c r="V285" s="13" t="s">
        <v>1631</v>
      </c>
      <c r="W285" s="13"/>
    </row>
    <row r="286" spans="1:23" ht="120" x14ac:dyDescent="0.25">
      <c r="A286" s="13" t="s">
        <v>568</v>
      </c>
      <c r="B286" s="13" t="s">
        <v>1453</v>
      </c>
      <c r="C286" s="10" t="s">
        <v>1182</v>
      </c>
      <c r="D286" s="10" t="s">
        <v>57</v>
      </c>
      <c r="E286" s="13" t="s">
        <v>1032</v>
      </c>
      <c r="F286" s="13" t="s">
        <v>1171</v>
      </c>
      <c r="G286" s="13" t="s">
        <v>1454</v>
      </c>
      <c r="H286" s="11" t="s">
        <v>65</v>
      </c>
      <c r="I286" s="10" t="s">
        <v>1190</v>
      </c>
      <c r="J286" s="10" t="s">
        <v>1455</v>
      </c>
      <c r="L286" s="13" t="s">
        <v>1647</v>
      </c>
      <c r="M286" s="13" t="s">
        <v>1631</v>
      </c>
      <c r="N286" s="13" t="s">
        <v>1640</v>
      </c>
      <c r="O286" s="13" t="s">
        <v>1647</v>
      </c>
      <c r="P286" s="13" t="s">
        <v>1631</v>
      </c>
      <c r="R286" s="13" t="s">
        <v>1647</v>
      </c>
      <c r="S286" s="13" t="s">
        <v>1631</v>
      </c>
      <c r="U286" s="13" t="s">
        <v>1647</v>
      </c>
      <c r="V286" s="13" t="s">
        <v>1631</v>
      </c>
      <c r="W286" s="13"/>
    </row>
    <row r="287" spans="1:23" ht="120" x14ac:dyDescent="0.25">
      <c r="A287" s="13" t="s">
        <v>569</v>
      </c>
      <c r="B287" s="13" t="s">
        <v>1456</v>
      </c>
      <c r="C287" s="10" t="s">
        <v>1182</v>
      </c>
      <c r="D287" s="10" t="s">
        <v>57</v>
      </c>
      <c r="E287" s="13" t="s">
        <v>1032</v>
      </c>
      <c r="F287" s="13" t="s">
        <v>1172</v>
      </c>
      <c r="G287" s="13" t="s">
        <v>1457</v>
      </c>
      <c r="H287" s="11" t="s">
        <v>65</v>
      </c>
      <c r="I287" s="10" t="s">
        <v>1190</v>
      </c>
      <c r="J287" s="10" t="s">
        <v>1455</v>
      </c>
      <c r="L287" s="13" t="s">
        <v>1647</v>
      </c>
      <c r="M287" s="13" t="s">
        <v>1631</v>
      </c>
      <c r="N287" s="13" t="s">
        <v>1640</v>
      </c>
      <c r="O287" s="13" t="s">
        <v>1647</v>
      </c>
      <c r="P287" s="13" t="s">
        <v>1631</v>
      </c>
      <c r="R287" s="13" t="s">
        <v>1647</v>
      </c>
      <c r="S287" s="13" t="s">
        <v>1631</v>
      </c>
      <c r="U287" s="13" t="s">
        <v>1647</v>
      </c>
      <c r="V287" s="13" t="s">
        <v>1631</v>
      </c>
      <c r="W287" s="13"/>
    </row>
    <row r="288" spans="1:23" ht="120" x14ac:dyDescent="0.25">
      <c r="A288" s="13" t="s">
        <v>570</v>
      </c>
      <c r="B288" s="13" t="s">
        <v>1458</v>
      </c>
      <c r="C288" s="10" t="s">
        <v>1182</v>
      </c>
      <c r="D288" s="10" t="s">
        <v>57</v>
      </c>
      <c r="E288" s="13" t="s">
        <v>1033</v>
      </c>
      <c r="F288" s="13" t="s">
        <v>1173</v>
      </c>
      <c r="G288" s="13" t="s">
        <v>1459</v>
      </c>
      <c r="H288" s="11" t="s">
        <v>65</v>
      </c>
      <c r="I288" s="10" t="s">
        <v>1190</v>
      </c>
      <c r="J288" s="10" t="s">
        <v>1450</v>
      </c>
      <c r="L288" s="13" t="s">
        <v>1647</v>
      </c>
      <c r="M288" s="13" t="s">
        <v>1631</v>
      </c>
      <c r="N288" s="13" t="s">
        <v>1640</v>
      </c>
      <c r="O288" s="13" t="s">
        <v>1647</v>
      </c>
      <c r="P288" s="13" t="s">
        <v>1631</v>
      </c>
      <c r="R288" s="13" t="s">
        <v>1647</v>
      </c>
      <c r="S288" s="13" t="s">
        <v>1631</v>
      </c>
      <c r="U288" s="13" t="s">
        <v>1647</v>
      </c>
      <c r="V288" s="13" t="s">
        <v>1631</v>
      </c>
      <c r="W288" s="13"/>
    </row>
    <row r="289" spans="1:23" ht="120" x14ac:dyDescent="0.25">
      <c r="A289" s="13" t="s">
        <v>571</v>
      </c>
      <c r="B289" s="13" t="s">
        <v>1460</v>
      </c>
      <c r="C289" s="10" t="s">
        <v>1182</v>
      </c>
      <c r="D289" s="10" t="s">
        <v>57</v>
      </c>
      <c r="E289" s="13" t="s">
        <v>1033</v>
      </c>
      <c r="F289" s="13" t="s">
        <v>1174</v>
      </c>
      <c r="G289" s="13" t="s">
        <v>1461</v>
      </c>
      <c r="H289" s="11" t="s">
        <v>65</v>
      </c>
      <c r="I289" s="10" t="s">
        <v>1190</v>
      </c>
      <c r="J289" s="10" t="s">
        <v>1450</v>
      </c>
      <c r="L289" s="13" t="s">
        <v>1647</v>
      </c>
      <c r="M289" s="13" t="s">
        <v>1631</v>
      </c>
      <c r="N289" s="13" t="s">
        <v>1640</v>
      </c>
      <c r="O289" s="13" t="s">
        <v>1647</v>
      </c>
      <c r="P289" s="13" t="s">
        <v>1631</v>
      </c>
      <c r="R289" s="13" t="s">
        <v>1647</v>
      </c>
      <c r="S289" s="13" t="s">
        <v>1631</v>
      </c>
      <c r="U289" s="13" t="s">
        <v>1647</v>
      </c>
      <c r="V289" s="13" t="s">
        <v>1631</v>
      </c>
      <c r="W289" s="13"/>
    </row>
    <row r="290" spans="1:23" ht="120" x14ac:dyDescent="0.25">
      <c r="A290" s="13" t="s">
        <v>572</v>
      </c>
      <c r="B290" s="13" t="s">
        <v>1462</v>
      </c>
      <c r="C290" s="10" t="s">
        <v>1182</v>
      </c>
      <c r="D290" s="10" t="s">
        <v>57</v>
      </c>
      <c r="E290" s="13" t="s">
        <v>1033</v>
      </c>
      <c r="F290" s="13" t="s">
        <v>1175</v>
      </c>
      <c r="G290" s="13" t="s">
        <v>1463</v>
      </c>
      <c r="H290" s="11" t="s">
        <v>65</v>
      </c>
      <c r="I290" s="10" t="s">
        <v>1190</v>
      </c>
      <c r="J290" s="10" t="s">
        <v>1455</v>
      </c>
      <c r="L290" s="13" t="s">
        <v>1647</v>
      </c>
      <c r="M290" s="13" t="s">
        <v>1631</v>
      </c>
      <c r="N290" s="13" t="s">
        <v>1640</v>
      </c>
      <c r="O290" s="13" t="s">
        <v>1647</v>
      </c>
      <c r="P290" s="13" t="s">
        <v>1631</v>
      </c>
      <c r="R290" s="13" t="s">
        <v>1647</v>
      </c>
      <c r="S290" s="13" t="s">
        <v>1631</v>
      </c>
      <c r="U290" s="13" t="s">
        <v>1647</v>
      </c>
      <c r="V290" s="13" t="s">
        <v>1631</v>
      </c>
      <c r="W290" s="13"/>
    </row>
    <row r="291" spans="1:23" ht="120" x14ac:dyDescent="0.25">
      <c r="A291" s="13" t="s">
        <v>573</v>
      </c>
      <c r="B291" s="13" t="s">
        <v>1464</v>
      </c>
      <c r="C291" s="10" t="s">
        <v>1182</v>
      </c>
      <c r="D291" s="10" t="s">
        <v>57</v>
      </c>
      <c r="E291" s="13" t="s">
        <v>1033</v>
      </c>
      <c r="F291" s="13" t="s">
        <v>1176</v>
      </c>
      <c r="G291" s="13" t="s">
        <v>1465</v>
      </c>
      <c r="H291" s="11" t="s">
        <v>65</v>
      </c>
      <c r="I291" s="10" t="s">
        <v>1190</v>
      </c>
      <c r="J291" s="10" t="s">
        <v>1455</v>
      </c>
      <c r="L291" s="13" t="s">
        <v>1647</v>
      </c>
      <c r="M291" s="13" t="s">
        <v>1631</v>
      </c>
      <c r="N291" s="13" t="s">
        <v>1640</v>
      </c>
      <c r="O291" s="13" t="s">
        <v>1647</v>
      </c>
      <c r="P291" s="13" t="s">
        <v>1631</v>
      </c>
      <c r="R291" s="13" t="s">
        <v>1647</v>
      </c>
      <c r="S291" s="13" t="s">
        <v>1631</v>
      </c>
      <c r="U291" s="13" t="s">
        <v>1647</v>
      </c>
      <c r="V291" s="13" t="s">
        <v>1631</v>
      </c>
      <c r="W291" s="13"/>
    </row>
    <row r="292" spans="1:23" ht="120" x14ac:dyDescent="0.25">
      <c r="A292" s="13" t="s">
        <v>574</v>
      </c>
      <c r="B292" s="13" t="s">
        <v>1466</v>
      </c>
      <c r="C292" s="10" t="s">
        <v>1182</v>
      </c>
      <c r="D292" s="10" t="s">
        <v>57</v>
      </c>
      <c r="E292" s="13" t="s">
        <v>1034</v>
      </c>
      <c r="F292" s="13" t="s">
        <v>1169</v>
      </c>
      <c r="G292" s="13" t="s">
        <v>1449</v>
      </c>
      <c r="H292" s="11" t="s">
        <v>65</v>
      </c>
      <c r="I292" s="10" t="s">
        <v>1190</v>
      </c>
      <c r="J292" s="10" t="s">
        <v>1450</v>
      </c>
      <c r="L292" s="13" t="s">
        <v>1647</v>
      </c>
      <c r="M292" s="13" t="s">
        <v>1631</v>
      </c>
      <c r="N292" s="13" t="s">
        <v>1640</v>
      </c>
      <c r="O292" s="13" t="s">
        <v>1647</v>
      </c>
      <c r="P292" s="13" t="s">
        <v>1631</v>
      </c>
      <c r="R292" s="13" t="s">
        <v>1647</v>
      </c>
      <c r="S292" s="13" t="s">
        <v>1631</v>
      </c>
      <c r="U292" s="13" t="s">
        <v>1647</v>
      </c>
      <c r="V292" s="13" t="s">
        <v>1631</v>
      </c>
      <c r="W292" s="13"/>
    </row>
    <row r="293" spans="1:23" ht="120" x14ac:dyDescent="0.25">
      <c r="A293" s="13" t="s">
        <v>575</v>
      </c>
      <c r="B293" s="13" t="s">
        <v>1467</v>
      </c>
      <c r="C293" s="10" t="s">
        <v>1182</v>
      </c>
      <c r="D293" s="10" t="s">
        <v>57</v>
      </c>
      <c r="E293" s="13" t="s">
        <v>1034</v>
      </c>
      <c r="F293" s="13" t="s">
        <v>1170</v>
      </c>
      <c r="G293" s="13" t="s">
        <v>1452</v>
      </c>
      <c r="H293" s="11" t="s">
        <v>65</v>
      </c>
      <c r="I293" s="10" t="s">
        <v>1190</v>
      </c>
      <c r="J293" s="10" t="s">
        <v>1450</v>
      </c>
      <c r="L293" s="13" t="s">
        <v>1647</v>
      </c>
      <c r="M293" s="13" t="s">
        <v>1631</v>
      </c>
      <c r="N293" s="13" t="s">
        <v>1640</v>
      </c>
      <c r="O293" s="13" t="s">
        <v>1647</v>
      </c>
      <c r="P293" s="13" t="s">
        <v>1631</v>
      </c>
      <c r="R293" s="13" t="s">
        <v>1647</v>
      </c>
      <c r="S293" s="13" t="s">
        <v>1631</v>
      </c>
      <c r="U293" s="13" t="s">
        <v>1647</v>
      </c>
      <c r="V293" s="13" t="s">
        <v>1631</v>
      </c>
      <c r="W293" s="13"/>
    </row>
    <row r="294" spans="1:23" ht="120" x14ac:dyDescent="0.25">
      <c r="A294" s="13" t="s">
        <v>576</v>
      </c>
      <c r="B294" s="13" t="s">
        <v>1468</v>
      </c>
      <c r="C294" s="10" t="s">
        <v>1182</v>
      </c>
      <c r="D294" s="10" t="s">
        <v>57</v>
      </c>
      <c r="E294" s="13" t="s">
        <v>1034</v>
      </c>
      <c r="F294" s="13" t="s">
        <v>1171</v>
      </c>
      <c r="G294" s="13" t="s">
        <v>1454</v>
      </c>
      <c r="H294" s="11" t="s">
        <v>65</v>
      </c>
      <c r="I294" s="10" t="s">
        <v>1190</v>
      </c>
      <c r="J294" s="10" t="s">
        <v>1455</v>
      </c>
      <c r="L294" s="13" t="s">
        <v>1647</v>
      </c>
      <c r="M294" s="13" t="s">
        <v>1631</v>
      </c>
      <c r="N294" s="13" t="s">
        <v>1640</v>
      </c>
      <c r="O294" s="13" t="s">
        <v>1647</v>
      </c>
      <c r="P294" s="13" t="s">
        <v>1631</v>
      </c>
      <c r="R294" s="13" t="s">
        <v>1647</v>
      </c>
      <c r="S294" s="13" t="s">
        <v>1631</v>
      </c>
      <c r="U294" s="13" t="s">
        <v>1647</v>
      </c>
      <c r="V294" s="13" t="s">
        <v>1631</v>
      </c>
      <c r="W294" s="13"/>
    </row>
    <row r="295" spans="1:23" ht="120" x14ac:dyDescent="0.25">
      <c r="A295" s="13" t="s">
        <v>577</v>
      </c>
      <c r="B295" s="13" t="s">
        <v>1469</v>
      </c>
      <c r="C295" s="10" t="s">
        <v>1182</v>
      </c>
      <c r="D295" s="10" t="s">
        <v>57</v>
      </c>
      <c r="E295" s="13" t="s">
        <v>1034</v>
      </c>
      <c r="F295" s="13" t="s">
        <v>1172</v>
      </c>
      <c r="G295" s="13" t="s">
        <v>1457</v>
      </c>
      <c r="H295" s="11" t="s">
        <v>65</v>
      </c>
      <c r="I295" s="10" t="s">
        <v>1190</v>
      </c>
      <c r="J295" s="10" t="s">
        <v>1455</v>
      </c>
      <c r="L295" s="13" t="s">
        <v>1647</v>
      </c>
      <c r="M295" s="13" t="s">
        <v>1631</v>
      </c>
      <c r="N295" s="13" t="s">
        <v>1640</v>
      </c>
      <c r="O295" s="13" t="s">
        <v>1647</v>
      </c>
      <c r="P295" s="13" t="s">
        <v>1631</v>
      </c>
      <c r="R295" s="13" t="s">
        <v>1647</v>
      </c>
      <c r="S295" s="13" t="s">
        <v>1631</v>
      </c>
      <c r="U295" s="13" t="s">
        <v>1647</v>
      </c>
      <c r="V295" s="13" t="s">
        <v>1631</v>
      </c>
      <c r="W295" s="13"/>
    </row>
    <row r="296" spans="1:23" ht="120" x14ac:dyDescent="0.25">
      <c r="A296" s="13" t="s">
        <v>578</v>
      </c>
      <c r="B296" s="13" t="s">
        <v>1470</v>
      </c>
      <c r="C296" s="10" t="s">
        <v>1182</v>
      </c>
      <c r="D296" s="10" t="s">
        <v>57</v>
      </c>
      <c r="E296" s="13" t="s">
        <v>1035</v>
      </c>
      <c r="F296" s="13" t="s">
        <v>1173</v>
      </c>
      <c r="G296" s="13" t="s">
        <v>1459</v>
      </c>
      <c r="H296" s="11" t="s">
        <v>65</v>
      </c>
      <c r="I296" s="10" t="s">
        <v>1190</v>
      </c>
      <c r="J296" s="10" t="s">
        <v>1450</v>
      </c>
      <c r="L296" s="13" t="s">
        <v>1647</v>
      </c>
      <c r="M296" s="13" t="s">
        <v>1631</v>
      </c>
      <c r="N296" s="13" t="s">
        <v>1640</v>
      </c>
      <c r="O296" s="13" t="s">
        <v>1647</v>
      </c>
      <c r="P296" s="13" t="s">
        <v>1631</v>
      </c>
      <c r="R296" s="13" t="s">
        <v>1647</v>
      </c>
      <c r="S296" s="13" t="s">
        <v>1631</v>
      </c>
      <c r="U296" s="13" t="s">
        <v>1647</v>
      </c>
      <c r="V296" s="13" t="s">
        <v>1631</v>
      </c>
      <c r="W296" s="13"/>
    </row>
    <row r="297" spans="1:23" ht="120" x14ac:dyDescent="0.25">
      <c r="A297" s="13" t="s">
        <v>579</v>
      </c>
      <c r="B297" s="13" t="s">
        <v>1471</v>
      </c>
      <c r="C297" s="10" t="s">
        <v>1182</v>
      </c>
      <c r="D297" s="10" t="s">
        <v>57</v>
      </c>
      <c r="E297" s="13" t="s">
        <v>1035</v>
      </c>
      <c r="F297" s="13" t="s">
        <v>1174</v>
      </c>
      <c r="G297" s="13" t="s">
        <v>1461</v>
      </c>
      <c r="H297" s="11" t="s">
        <v>65</v>
      </c>
      <c r="I297" s="10" t="s">
        <v>1190</v>
      </c>
      <c r="J297" s="10" t="s">
        <v>1450</v>
      </c>
      <c r="L297" s="13" t="s">
        <v>1647</v>
      </c>
      <c r="M297" s="13" t="s">
        <v>1631</v>
      </c>
      <c r="N297" s="13" t="s">
        <v>1640</v>
      </c>
      <c r="O297" s="13" t="s">
        <v>1647</v>
      </c>
      <c r="P297" s="13" t="s">
        <v>1631</v>
      </c>
      <c r="R297" s="13" t="s">
        <v>1647</v>
      </c>
      <c r="S297" s="13" t="s">
        <v>1631</v>
      </c>
      <c r="U297" s="13" t="s">
        <v>1647</v>
      </c>
      <c r="V297" s="13" t="s">
        <v>1631</v>
      </c>
      <c r="W297" s="13"/>
    </row>
    <row r="298" spans="1:23" ht="120" x14ac:dyDescent="0.25">
      <c r="A298" s="13" t="s">
        <v>580</v>
      </c>
      <c r="B298" s="13" t="s">
        <v>1472</v>
      </c>
      <c r="C298" s="10" t="s">
        <v>1182</v>
      </c>
      <c r="D298" s="10" t="s">
        <v>57</v>
      </c>
      <c r="E298" s="13" t="s">
        <v>1035</v>
      </c>
      <c r="F298" s="13" t="s">
        <v>1175</v>
      </c>
      <c r="G298" s="13" t="s">
        <v>1463</v>
      </c>
      <c r="H298" s="11" t="s">
        <v>65</v>
      </c>
      <c r="I298" s="10" t="s">
        <v>1190</v>
      </c>
      <c r="J298" s="10" t="s">
        <v>1455</v>
      </c>
      <c r="L298" s="13" t="s">
        <v>1647</v>
      </c>
      <c r="M298" s="13" t="s">
        <v>1631</v>
      </c>
      <c r="N298" s="13" t="s">
        <v>1640</v>
      </c>
      <c r="O298" s="13" t="s">
        <v>1647</v>
      </c>
      <c r="P298" s="13" t="s">
        <v>1631</v>
      </c>
      <c r="R298" s="13" t="s">
        <v>1647</v>
      </c>
      <c r="S298" s="13" t="s">
        <v>1631</v>
      </c>
      <c r="U298" s="13" t="s">
        <v>1647</v>
      </c>
      <c r="V298" s="13" t="s">
        <v>1631</v>
      </c>
      <c r="W298" s="13"/>
    </row>
    <row r="299" spans="1:23" ht="120" x14ac:dyDescent="0.25">
      <c r="A299" s="13" t="s">
        <v>581</v>
      </c>
      <c r="B299" s="13" t="s">
        <v>1473</v>
      </c>
      <c r="C299" s="10" t="s">
        <v>1182</v>
      </c>
      <c r="D299" s="10" t="s">
        <v>57</v>
      </c>
      <c r="E299" s="13" t="s">
        <v>1035</v>
      </c>
      <c r="F299" s="13" t="s">
        <v>1176</v>
      </c>
      <c r="G299" s="13" t="s">
        <v>1465</v>
      </c>
      <c r="H299" s="11" t="s">
        <v>65</v>
      </c>
      <c r="I299" s="10" t="s">
        <v>1190</v>
      </c>
      <c r="J299" s="10" t="s">
        <v>1455</v>
      </c>
      <c r="L299" s="13" t="s">
        <v>1647</v>
      </c>
      <c r="M299" s="13" t="s">
        <v>1631</v>
      </c>
      <c r="N299" s="13" t="s">
        <v>1640</v>
      </c>
      <c r="O299" s="13" t="s">
        <v>1647</v>
      </c>
      <c r="P299" s="13" t="s">
        <v>1631</v>
      </c>
      <c r="R299" s="13" t="s">
        <v>1647</v>
      </c>
      <c r="S299" s="13" t="s">
        <v>1631</v>
      </c>
      <c r="U299" s="13" t="s">
        <v>1647</v>
      </c>
      <c r="V299" s="13" t="s">
        <v>1631</v>
      </c>
      <c r="W299" s="13"/>
    </row>
    <row r="300" spans="1:23" ht="105" hidden="1" x14ac:dyDescent="0.25">
      <c r="A300" s="13" t="s">
        <v>582</v>
      </c>
      <c r="B300" s="10" t="s">
        <v>994</v>
      </c>
      <c r="C300" s="10" t="s">
        <v>1179</v>
      </c>
      <c r="D300" s="10" t="s">
        <v>57</v>
      </c>
      <c r="E300" s="13" t="s">
        <v>109</v>
      </c>
      <c r="F300" s="13" t="s">
        <v>995</v>
      </c>
      <c r="G300" s="13" t="s">
        <v>813</v>
      </c>
      <c r="H300" s="11" t="s">
        <v>65</v>
      </c>
      <c r="I300" s="10" t="s">
        <v>1189</v>
      </c>
      <c r="J300" s="10" t="s">
        <v>996</v>
      </c>
      <c r="L300" s="13" t="s">
        <v>1647</v>
      </c>
      <c r="M300" s="13" t="s">
        <v>1628</v>
      </c>
      <c r="N300" s="13" t="s">
        <v>1630</v>
      </c>
      <c r="O300" s="13" t="s">
        <v>1647</v>
      </c>
      <c r="P300" s="13" t="s">
        <v>1631</v>
      </c>
      <c r="Q300" s="13" t="s">
        <v>1688</v>
      </c>
      <c r="R300" s="13" t="s">
        <v>1680</v>
      </c>
      <c r="T300" s="13" t="s">
        <v>1689</v>
      </c>
      <c r="U300" s="13" t="s">
        <v>1647</v>
      </c>
      <c r="V300" s="13" t="s">
        <v>1631</v>
      </c>
      <c r="W300" s="13"/>
    </row>
    <row r="301" spans="1:23" ht="270" hidden="1" x14ac:dyDescent="0.25">
      <c r="A301" s="13" t="s">
        <v>583</v>
      </c>
      <c r="B301" s="10" t="s">
        <v>997</v>
      </c>
      <c r="C301" s="10" t="s">
        <v>1179</v>
      </c>
      <c r="D301" s="10" t="s">
        <v>57</v>
      </c>
      <c r="E301" s="13" t="s">
        <v>109</v>
      </c>
      <c r="F301" s="13" t="s">
        <v>998</v>
      </c>
      <c r="G301" s="13" t="s">
        <v>812</v>
      </c>
      <c r="H301" s="11" t="s">
        <v>65</v>
      </c>
      <c r="I301" s="10" t="s">
        <v>1189</v>
      </c>
      <c r="J301" s="10" t="s">
        <v>996</v>
      </c>
      <c r="L301" s="13" t="s">
        <v>1647</v>
      </c>
      <c r="M301" s="13" t="s">
        <v>1631</v>
      </c>
      <c r="O301" s="13" t="s">
        <v>1647</v>
      </c>
      <c r="P301" s="13" t="s">
        <v>1631</v>
      </c>
      <c r="Q301" s="13" t="s">
        <v>1690</v>
      </c>
      <c r="R301" s="13" t="s">
        <v>1647</v>
      </c>
      <c r="T301" s="13" t="s">
        <v>1691</v>
      </c>
      <c r="U301" s="13" t="s">
        <v>1647</v>
      </c>
      <c r="V301" s="13" t="s">
        <v>1631</v>
      </c>
      <c r="W301" s="13"/>
    </row>
    <row r="302" spans="1:23" ht="120" x14ac:dyDescent="0.25">
      <c r="A302" s="10" t="s">
        <v>584</v>
      </c>
      <c r="B302" s="13" t="s">
        <v>1474</v>
      </c>
      <c r="C302" s="10" t="s">
        <v>1182</v>
      </c>
      <c r="D302" s="10" t="s">
        <v>57</v>
      </c>
      <c r="E302" s="13" t="s">
        <v>1036</v>
      </c>
      <c r="F302" s="13" t="s">
        <v>1139</v>
      </c>
      <c r="G302" s="13" t="s">
        <v>1350</v>
      </c>
      <c r="H302" s="11" t="s">
        <v>65</v>
      </c>
      <c r="I302" s="10" t="s">
        <v>1190</v>
      </c>
      <c r="J302" s="10" t="s">
        <v>1351</v>
      </c>
      <c r="L302" s="13" t="s">
        <v>1647</v>
      </c>
      <c r="M302" s="13" t="s">
        <v>1631</v>
      </c>
      <c r="N302" s="13" t="s">
        <v>1640</v>
      </c>
      <c r="O302" s="13" t="s">
        <v>1647</v>
      </c>
      <c r="P302" s="13" t="s">
        <v>1631</v>
      </c>
      <c r="R302" s="13" t="s">
        <v>1647</v>
      </c>
      <c r="S302" s="13" t="s">
        <v>1631</v>
      </c>
      <c r="U302" s="13" t="s">
        <v>1647</v>
      </c>
      <c r="V302" s="13" t="s">
        <v>1631</v>
      </c>
      <c r="W302" s="13"/>
    </row>
    <row r="303" spans="1:23" ht="120" x14ac:dyDescent="0.25">
      <c r="A303" s="10" t="s">
        <v>585</v>
      </c>
      <c r="B303" s="13" t="s">
        <v>1475</v>
      </c>
      <c r="C303" s="10" t="s">
        <v>1182</v>
      </c>
      <c r="D303" s="10" t="s">
        <v>57</v>
      </c>
      <c r="E303" s="13" t="s">
        <v>1036</v>
      </c>
      <c r="F303" s="13" t="s">
        <v>1140</v>
      </c>
      <c r="G303" s="13" t="s">
        <v>1353</v>
      </c>
      <c r="H303" s="11" t="s">
        <v>65</v>
      </c>
      <c r="I303" s="10" t="s">
        <v>1190</v>
      </c>
      <c r="J303" s="10" t="s">
        <v>1351</v>
      </c>
      <c r="L303" s="13" t="s">
        <v>1647</v>
      </c>
      <c r="M303" s="13" t="s">
        <v>1631</v>
      </c>
      <c r="N303" s="13" t="s">
        <v>1640</v>
      </c>
      <c r="O303" s="13" t="s">
        <v>1647</v>
      </c>
      <c r="P303" s="13" t="s">
        <v>1631</v>
      </c>
      <c r="R303" s="13" t="s">
        <v>1647</v>
      </c>
      <c r="S303" s="13" t="s">
        <v>1631</v>
      </c>
      <c r="U303" s="13" t="s">
        <v>1647</v>
      </c>
      <c r="V303" s="13" t="s">
        <v>1631</v>
      </c>
      <c r="W303" s="13"/>
    </row>
    <row r="304" spans="1:23" ht="120" x14ac:dyDescent="0.25">
      <c r="A304" s="10" t="s">
        <v>586</v>
      </c>
      <c r="B304" s="13" t="s">
        <v>1476</v>
      </c>
      <c r="C304" s="10" t="s">
        <v>1182</v>
      </c>
      <c r="D304" s="10" t="s">
        <v>57</v>
      </c>
      <c r="E304" s="13" t="s">
        <v>1036</v>
      </c>
      <c r="F304" s="13" t="s">
        <v>1141</v>
      </c>
      <c r="G304" s="13" t="s">
        <v>1355</v>
      </c>
      <c r="H304" s="11" t="s">
        <v>65</v>
      </c>
      <c r="I304" s="10" t="s">
        <v>1190</v>
      </c>
      <c r="J304" s="10" t="s">
        <v>1356</v>
      </c>
      <c r="L304" s="13" t="s">
        <v>1647</v>
      </c>
      <c r="M304" s="13" t="s">
        <v>1631</v>
      </c>
      <c r="N304" s="13" t="s">
        <v>1640</v>
      </c>
      <c r="O304" s="13" t="s">
        <v>1647</v>
      </c>
      <c r="P304" s="13" t="s">
        <v>1631</v>
      </c>
      <c r="R304" s="13" t="s">
        <v>1647</v>
      </c>
      <c r="S304" s="13" t="s">
        <v>1631</v>
      </c>
      <c r="U304" s="13" t="s">
        <v>1647</v>
      </c>
      <c r="V304" s="13" t="s">
        <v>1631</v>
      </c>
      <c r="W304" s="13"/>
    </row>
    <row r="305" spans="1:23" ht="120" x14ac:dyDescent="0.25">
      <c r="A305" s="10" t="s">
        <v>587</v>
      </c>
      <c r="B305" s="13" t="s">
        <v>1477</v>
      </c>
      <c r="C305" s="10" t="s">
        <v>1182</v>
      </c>
      <c r="D305" s="10" t="s">
        <v>57</v>
      </c>
      <c r="E305" s="13" t="s">
        <v>1036</v>
      </c>
      <c r="F305" s="13" t="s">
        <v>1142</v>
      </c>
      <c r="G305" s="13" t="s">
        <v>1358</v>
      </c>
      <c r="H305" s="11" t="s">
        <v>65</v>
      </c>
      <c r="I305" s="10" t="s">
        <v>1190</v>
      </c>
      <c r="J305" s="10" t="s">
        <v>1356</v>
      </c>
      <c r="L305" s="13" t="s">
        <v>1647</v>
      </c>
      <c r="M305" s="13" t="s">
        <v>1631</v>
      </c>
      <c r="N305" s="13" t="s">
        <v>1640</v>
      </c>
      <c r="O305" s="13" t="s">
        <v>1647</v>
      </c>
      <c r="P305" s="13" t="s">
        <v>1631</v>
      </c>
      <c r="R305" s="13" t="s">
        <v>1647</v>
      </c>
      <c r="S305" s="13" t="s">
        <v>1631</v>
      </c>
      <c r="U305" s="13" t="s">
        <v>1647</v>
      </c>
      <c r="V305" s="13" t="s">
        <v>1631</v>
      </c>
      <c r="W305" s="13"/>
    </row>
    <row r="306" spans="1:23" ht="120" x14ac:dyDescent="0.25">
      <c r="A306" s="10" t="s">
        <v>588</v>
      </c>
      <c r="B306" s="13" t="s">
        <v>1478</v>
      </c>
      <c r="C306" s="10" t="s">
        <v>1182</v>
      </c>
      <c r="D306" s="10" t="s">
        <v>57</v>
      </c>
      <c r="E306" s="13" t="s">
        <v>1036</v>
      </c>
      <c r="F306" s="13" t="s">
        <v>1143</v>
      </c>
      <c r="G306" s="13" t="s">
        <v>1360</v>
      </c>
      <c r="H306" s="11" t="s">
        <v>65</v>
      </c>
      <c r="I306" s="10" t="s">
        <v>1190</v>
      </c>
      <c r="J306" s="10" t="s">
        <v>1361</v>
      </c>
      <c r="L306" s="13" t="s">
        <v>1647</v>
      </c>
      <c r="M306" s="13" t="s">
        <v>1631</v>
      </c>
      <c r="N306" s="13" t="s">
        <v>1640</v>
      </c>
      <c r="O306" s="13" t="s">
        <v>1647</v>
      </c>
      <c r="P306" s="13" t="s">
        <v>1631</v>
      </c>
      <c r="R306" s="13" t="s">
        <v>1647</v>
      </c>
      <c r="S306" s="13" t="s">
        <v>1631</v>
      </c>
      <c r="U306" s="13" t="s">
        <v>1647</v>
      </c>
      <c r="V306" s="13" t="s">
        <v>1631</v>
      </c>
      <c r="W306" s="13"/>
    </row>
    <row r="307" spans="1:23" ht="120" x14ac:dyDescent="0.25">
      <c r="A307" s="10" t="s">
        <v>589</v>
      </c>
      <c r="B307" s="13" t="s">
        <v>1479</v>
      </c>
      <c r="C307" s="10" t="s">
        <v>1182</v>
      </c>
      <c r="D307" s="10" t="s">
        <v>57</v>
      </c>
      <c r="E307" s="13" t="s">
        <v>1036</v>
      </c>
      <c r="F307" s="13" t="s">
        <v>1144</v>
      </c>
      <c r="G307" s="13" t="s">
        <v>1363</v>
      </c>
      <c r="H307" s="11" t="s">
        <v>65</v>
      </c>
      <c r="I307" s="10" t="s">
        <v>1190</v>
      </c>
      <c r="J307" s="10" t="s">
        <v>1361</v>
      </c>
      <c r="L307" s="13" t="s">
        <v>1647</v>
      </c>
      <c r="M307" s="13" t="s">
        <v>1631</v>
      </c>
      <c r="N307" s="13" t="s">
        <v>1640</v>
      </c>
      <c r="O307" s="13" t="s">
        <v>1647</v>
      </c>
      <c r="P307" s="13" t="s">
        <v>1631</v>
      </c>
      <c r="R307" s="13" t="s">
        <v>1647</v>
      </c>
      <c r="S307" s="13" t="s">
        <v>1631</v>
      </c>
      <c r="U307" s="13" t="s">
        <v>1647</v>
      </c>
      <c r="V307" s="13" t="s">
        <v>1631</v>
      </c>
      <c r="W307" s="13"/>
    </row>
    <row r="308" spans="1:23" ht="120" x14ac:dyDescent="0.25">
      <c r="A308" s="10" t="s">
        <v>590</v>
      </c>
      <c r="B308" s="13" t="s">
        <v>1480</v>
      </c>
      <c r="C308" s="10" t="s">
        <v>1182</v>
      </c>
      <c r="D308" s="10" t="s">
        <v>57</v>
      </c>
      <c r="E308" s="13" t="s">
        <v>1037</v>
      </c>
      <c r="F308" s="13" t="s">
        <v>1139</v>
      </c>
      <c r="G308" s="13" t="s">
        <v>1350</v>
      </c>
      <c r="H308" s="11" t="s">
        <v>65</v>
      </c>
      <c r="I308" s="10" t="s">
        <v>1190</v>
      </c>
      <c r="J308" s="10" t="s">
        <v>1351</v>
      </c>
      <c r="L308" s="13" t="s">
        <v>1647</v>
      </c>
      <c r="M308" s="13" t="s">
        <v>1631</v>
      </c>
      <c r="N308" s="13" t="s">
        <v>1640</v>
      </c>
      <c r="O308" s="13" t="s">
        <v>1647</v>
      </c>
      <c r="P308" s="13" t="s">
        <v>1631</v>
      </c>
      <c r="R308" s="13" t="s">
        <v>1647</v>
      </c>
      <c r="S308" s="13" t="s">
        <v>1631</v>
      </c>
      <c r="U308" s="13" t="s">
        <v>1647</v>
      </c>
      <c r="V308" s="13" t="s">
        <v>1631</v>
      </c>
      <c r="W308" s="13"/>
    </row>
    <row r="309" spans="1:23" ht="120" x14ac:dyDescent="0.25">
      <c r="A309" s="10" t="s">
        <v>591</v>
      </c>
      <c r="B309" s="13" t="s">
        <v>1481</v>
      </c>
      <c r="C309" s="10" t="s">
        <v>1182</v>
      </c>
      <c r="D309" s="10" t="s">
        <v>57</v>
      </c>
      <c r="E309" s="13" t="s">
        <v>1037</v>
      </c>
      <c r="F309" s="13" t="s">
        <v>1140</v>
      </c>
      <c r="G309" s="13" t="s">
        <v>1353</v>
      </c>
      <c r="H309" s="11" t="s">
        <v>65</v>
      </c>
      <c r="I309" s="10" t="s">
        <v>1190</v>
      </c>
      <c r="J309" s="10" t="s">
        <v>1351</v>
      </c>
      <c r="L309" s="13" t="s">
        <v>1647</v>
      </c>
      <c r="M309" s="13" t="s">
        <v>1631</v>
      </c>
      <c r="N309" s="13" t="s">
        <v>1640</v>
      </c>
      <c r="O309" s="13" t="s">
        <v>1647</v>
      </c>
      <c r="P309" s="13" t="s">
        <v>1631</v>
      </c>
      <c r="R309" s="13" t="s">
        <v>1647</v>
      </c>
      <c r="S309" s="13" t="s">
        <v>1631</v>
      </c>
      <c r="U309" s="13" t="s">
        <v>1647</v>
      </c>
      <c r="V309" s="13" t="s">
        <v>1631</v>
      </c>
      <c r="W309" s="13"/>
    </row>
    <row r="310" spans="1:23" ht="120" x14ac:dyDescent="0.25">
      <c r="A310" s="10" t="s">
        <v>592</v>
      </c>
      <c r="B310" s="13" t="s">
        <v>1482</v>
      </c>
      <c r="C310" s="10" t="s">
        <v>1182</v>
      </c>
      <c r="D310" s="10" t="s">
        <v>57</v>
      </c>
      <c r="E310" s="13" t="s">
        <v>1037</v>
      </c>
      <c r="F310" s="13" t="s">
        <v>1141</v>
      </c>
      <c r="G310" s="13" t="s">
        <v>1355</v>
      </c>
      <c r="H310" s="11" t="s">
        <v>65</v>
      </c>
      <c r="I310" s="10" t="s">
        <v>1190</v>
      </c>
      <c r="J310" s="10" t="s">
        <v>1356</v>
      </c>
      <c r="L310" s="13" t="s">
        <v>1647</v>
      </c>
      <c r="M310" s="13" t="s">
        <v>1631</v>
      </c>
      <c r="N310" s="13" t="s">
        <v>1640</v>
      </c>
      <c r="O310" s="13" t="s">
        <v>1647</v>
      </c>
      <c r="P310" s="13" t="s">
        <v>1631</v>
      </c>
      <c r="R310" s="13" t="s">
        <v>1647</v>
      </c>
      <c r="S310" s="13" t="s">
        <v>1631</v>
      </c>
      <c r="U310" s="13" t="s">
        <v>1647</v>
      </c>
      <c r="V310" s="13" t="s">
        <v>1631</v>
      </c>
      <c r="W310" s="13"/>
    </row>
    <row r="311" spans="1:23" ht="120" x14ac:dyDescent="0.25">
      <c r="A311" s="10" t="s">
        <v>593</v>
      </c>
      <c r="B311" s="13" t="s">
        <v>1483</v>
      </c>
      <c r="C311" s="10" t="s">
        <v>1182</v>
      </c>
      <c r="D311" s="10" t="s">
        <v>57</v>
      </c>
      <c r="E311" s="13" t="s">
        <v>1037</v>
      </c>
      <c r="F311" s="13" t="s">
        <v>1142</v>
      </c>
      <c r="G311" s="13" t="s">
        <v>1358</v>
      </c>
      <c r="H311" s="11" t="s">
        <v>65</v>
      </c>
      <c r="I311" s="10" t="s">
        <v>1190</v>
      </c>
      <c r="J311" s="10" t="s">
        <v>1356</v>
      </c>
      <c r="L311" s="13" t="s">
        <v>1647</v>
      </c>
      <c r="M311" s="13" t="s">
        <v>1631</v>
      </c>
      <c r="N311" s="13" t="s">
        <v>1640</v>
      </c>
      <c r="O311" s="13" t="s">
        <v>1647</v>
      </c>
      <c r="P311" s="13" t="s">
        <v>1631</v>
      </c>
      <c r="R311" s="13" t="s">
        <v>1647</v>
      </c>
      <c r="S311" s="13" t="s">
        <v>1631</v>
      </c>
      <c r="U311" s="13" t="s">
        <v>1647</v>
      </c>
      <c r="V311" s="13" t="s">
        <v>1631</v>
      </c>
      <c r="W311" s="13"/>
    </row>
    <row r="312" spans="1:23" ht="120" x14ac:dyDescent="0.25">
      <c r="A312" s="10" t="s">
        <v>594</v>
      </c>
      <c r="B312" s="13" t="s">
        <v>1484</v>
      </c>
      <c r="C312" s="10" t="s">
        <v>1182</v>
      </c>
      <c r="D312" s="10" t="s">
        <v>57</v>
      </c>
      <c r="E312" s="13" t="s">
        <v>1037</v>
      </c>
      <c r="F312" s="13" t="s">
        <v>1143</v>
      </c>
      <c r="G312" s="13" t="s">
        <v>1360</v>
      </c>
      <c r="H312" s="11" t="s">
        <v>65</v>
      </c>
      <c r="I312" s="10" t="s">
        <v>1190</v>
      </c>
      <c r="J312" s="10" t="s">
        <v>1361</v>
      </c>
      <c r="L312" s="13" t="s">
        <v>1647</v>
      </c>
      <c r="M312" s="13" t="s">
        <v>1631</v>
      </c>
      <c r="N312" s="13" t="s">
        <v>1640</v>
      </c>
      <c r="O312" s="13" t="s">
        <v>1647</v>
      </c>
      <c r="P312" s="13" t="s">
        <v>1631</v>
      </c>
      <c r="R312" s="13" t="s">
        <v>1647</v>
      </c>
      <c r="S312" s="13" t="s">
        <v>1631</v>
      </c>
      <c r="U312" s="13" t="s">
        <v>1647</v>
      </c>
      <c r="V312" s="13" t="s">
        <v>1631</v>
      </c>
      <c r="W312" s="13"/>
    </row>
    <row r="313" spans="1:23" ht="120" x14ac:dyDescent="0.25">
      <c r="A313" s="10" t="s">
        <v>595</v>
      </c>
      <c r="B313" s="13" t="s">
        <v>1485</v>
      </c>
      <c r="C313" s="10" t="s">
        <v>1182</v>
      </c>
      <c r="D313" s="10" t="s">
        <v>57</v>
      </c>
      <c r="E313" s="13" t="s">
        <v>1037</v>
      </c>
      <c r="F313" s="13" t="s">
        <v>1144</v>
      </c>
      <c r="G313" s="13" t="s">
        <v>1363</v>
      </c>
      <c r="H313" s="11" t="s">
        <v>65</v>
      </c>
      <c r="I313" s="10" t="s">
        <v>1190</v>
      </c>
      <c r="J313" s="10" t="s">
        <v>1361</v>
      </c>
      <c r="L313" s="13" t="s">
        <v>1647</v>
      </c>
      <c r="M313" s="13" t="s">
        <v>1631</v>
      </c>
      <c r="N313" s="13" t="s">
        <v>1640</v>
      </c>
      <c r="O313" s="13" t="s">
        <v>1647</v>
      </c>
      <c r="P313" s="13" t="s">
        <v>1631</v>
      </c>
      <c r="R313" s="13" t="s">
        <v>1647</v>
      </c>
      <c r="S313" s="13" t="s">
        <v>1631</v>
      </c>
      <c r="U313" s="13" t="s">
        <v>1647</v>
      </c>
      <c r="V313" s="13" t="s">
        <v>1631</v>
      </c>
      <c r="W313" s="13"/>
    </row>
    <row r="314" spans="1:23" ht="120" x14ac:dyDescent="0.25">
      <c r="A314" s="10" t="s">
        <v>596</v>
      </c>
      <c r="B314" s="13" t="s">
        <v>1486</v>
      </c>
      <c r="C314" s="10" t="s">
        <v>1182</v>
      </c>
      <c r="D314" s="10" t="s">
        <v>57</v>
      </c>
      <c r="E314" s="13" t="s">
        <v>1038</v>
      </c>
      <c r="F314" s="13" t="s">
        <v>1151</v>
      </c>
      <c r="G314" s="13" t="s">
        <v>1389</v>
      </c>
      <c r="H314" s="11" t="s">
        <v>65</v>
      </c>
      <c r="I314" s="10" t="s">
        <v>1190</v>
      </c>
      <c r="J314" s="10" t="s">
        <v>1390</v>
      </c>
      <c r="L314" s="13" t="s">
        <v>1647</v>
      </c>
      <c r="M314" s="13" t="s">
        <v>1631</v>
      </c>
      <c r="N314" s="13" t="s">
        <v>1640</v>
      </c>
      <c r="O314" s="13" t="s">
        <v>1647</v>
      </c>
      <c r="P314" s="13" t="s">
        <v>1631</v>
      </c>
      <c r="R314" s="13" t="s">
        <v>1647</v>
      </c>
      <c r="S314" s="13" t="s">
        <v>1631</v>
      </c>
      <c r="U314" s="13" t="s">
        <v>1647</v>
      </c>
      <c r="V314" s="13" t="s">
        <v>1631</v>
      </c>
      <c r="W314" s="13"/>
    </row>
    <row r="315" spans="1:23" ht="120" x14ac:dyDescent="0.25">
      <c r="A315" s="10" t="s">
        <v>597</v>
      </c>
      <c r="B315" s="13" t="s">
        <v>1487</v>
      </c>
      <c r="C315" s="10" t="s">
        <v>1182</v>
      </c>
      <c r="D315" s="10" t="s">
        <v>57</v>
      </c>
      <c r="E315" s="13" t="s">
        <v>1038</v>
      </c>
      <c r="F315" s="13" t="s">
        <v>1152</v>
      </c>
      <c r="G315" s="13" t="s">
        <v>1392</v>
      </c>
      <c r="H315" s="11" t="s">
        <v>65</v>
      </c>
      <c r="I315" s="10" t="s">
        <v>1190</v>
      </c>
      <c r="J315" s="10" t="s">
        <v>1390</v>
      </c>
      <c r="L315" s="13" t="s">
        <v>1647</v>
      </c>
      <c r="M315" s="13" t="s">
        <v>1631</v>
      </c>
      <c r="N315" s="13" t="s">
        <v>1640</v>
      </c>
      <c r="O315" s="13" t="s">
        <v>1647</v>
      </c>
      <c r="P315" s="13" t="s">
        <v>1631</v>
      </c>
      <c r="R315" s="13" t="s">
        <v>1647</v>
      </c>
      <c r="S315" s="13" t="s">
        <v>1631</v>
      </c>
      <c r="U315" s="13" t="s">
        <v>1647</v>
      </c>
      <c r="V315" s="13" t="s">
        <v>1631</v>
      </c>
      <c r="W315" s="13"/>
    </row>
    <row r="316" spans="1:23" ht="120" x14ac:dyDescent="0.25">
      <c r="A316" s="10" t="s">
        <v>598</v>
      </c>
      <c r="B316" s="13" t="s">
        <v>1488</v>
      </c>
      <c r="C316" s="10" t="s">
        <v>1182</v>
      </c>
      <c r="D316" s="10" t="s">
        <v>57</v>
      </c>
      <c r="E316" s="13" t="s">
        <v>1038</v>
      </c>
      <c r="F316" s="13" t="s">
        <v>1153</v>
      </c>
      <c r="G316" s="13" t="s">
        <v>1394</v>
      </c>
      <c r="H316" s="11" t="s">
        <v>65</v>
      </c>
      <c r="I316" s="10" t="s">
        <v>1190</v>
      </c>
      <c r="J316" s="10" t="s">
        <v>1395</v>
      </c>
      <c r="L316" s="13" t="s">
        <v>1647</v>
      </c>
      <c r="M316" s="13" t="s">
        <v>1631</v>
      </c>
      <c r="N316" s="13" t="s">
        <v>1640</v>
      </c>
      <c r="O316" s="13" t="s">
        <v>1647</v>
      </c>
      <c r="P316" s="13" t="s">
        <v>1631</v>
      </c>
      <c r="R316" s="13" t="s">
        <v>1647</v>
      </c>
      <c r="S316" s="13" t="s">
        <v>1631</v>
      </c>
      <c r="U316" s="13" t="s">
        <v>1647</v>
      </c>
      <c r="V316" s="13" t="s">
        <v>1631</v>
      </c>
      <c r="W316" s="13"/>
    </row>
    <row r="317" spans="1:23" ht="120" x14ac:dyDescent="0.25">
      <c r="A317" s="10" t="s">
        <v>599</v>
      </c>
      <c r="B317" s="13" t="s">
        <v>1489</v>
      </c>
      <c r="C317" s="10" t="s">
        <v>1182</v>
      </c>
      <c r="D317" s="10" t="s">
        <v>57</v>
      </c>
      <c r="E317" s="13" t="s">
        <v>1038</v>
      </c>
      <c r="F317" s="13" t="s">
        <v>1154</v>
      </c>
      <c r="G317" s="13" t="s">
        <v>1397</v>
      </c>
      <c r="H317" s="11" t="s">
        <v>65</v>
      </c>
      <c r="I317" s="10" t="s">
        <v>1190</v>
      </c>
      <c r="J317" s="10" t="s">
        <v>1395</v>
      </c>
      <c r="L317" s="13" t="s">
        <v>1647</v>
      </c>
      <c r="M317" s="13" t="s">
        <v>1631</v>
      </c>
      <c r="N317" s="13" t="s">
        <v>1640</v>
      </c>
      <c r="O317" s="13" t="s">
        <v>1647</v>
      </c>
      <c r="P317" s="13" t="s">
        <v>1631</v>
      </c>
      <c r="R317" s="13" t="s">
        <v>1647</v>
      </c>
      <c r="S317" s="13" t="s">
        <v>1631</v>
      </c>
      <c r="U317" s="13" t="s">
        <v>1647</v>
      </c>
      <c r="V317" s="13" t="s">
        <v>1631</v>
      </c>
      <c r="W317" s="13"/>
    </row>
    <row r="318" spans="1:23" ht="120" x14ac:dyDescent="0.25">
      <c r="A318" s="10" t="s">
        <v>600</v>
      </c>
      <c r="B318" s="13" t="s">
        <v>1490</v>
      </c>
      <c r="C318" s="10" t="s">
        <v>1182</v>
      </c>
      <c r="D318" s="10" t="s">
        <v>57</v>
      </c>
      <c r="E318" s="13" t="s">
        <v>1038</v>
      </c>
      <c r="F318" s="13" t="s">
        <v>1155</v>
      </c>
      <c r="G318" s="13" t="s">
        <v>1399</v>
      </c>
      <c r="H318" s="11" t="s">
        <v>65</v>
      </c>
      <c r="I318" s="10" t="s">
        <v>1190</v>
      </c>
      <c r="J318" s="10" t="s">
        <v>1400</v>
      </c>
      <c r="L318" s="13" t="s">
        <v>1647</v>
      </c>
      <c r="M318" s="13" t="s">
        <v>1631</v>
      </c>
      <c r="N318" s="13" t="s">
        <v>1640</v>
      </c>
      <c r="O318" s="13" t="s">
        <v>1647</v>
      </c>
      <c r="P318" s="13" t="s">
        <v>1631</v>
      </c>
      <c r="R318" s="13" t="s">
        <v>1647</v>
      </c>
      <c r="S318" s="13" t="s">
        <v>1631</v>
      </c>
      <c r="U318" s="13" t="s">
        <v>1647</v>
      </c>
      <c r="V318" s="13" t="s">
        <v>1631</v>
      </c>
      <c r="W318" s="13"/>
    </row>
    <row r="319" spans="1:23" ht="120" x14ac:dyDescent="0.25">
      <c r="A319" s="10" t="s">
        <v>601</v>
      </c>
      <c r="B319" s="13" t="s">
        <v>1491</v>
      </c>
      <c r="C319" s="10" t="s">
        <v>1182</v>
      </c>
      <c r="D319" s="10" t="s">
        <v>57</v>
      </c>
      <c r="E319" s="13" t="s">
        <v>1038</v>
      </c>
      <c r="F319" s="13" t="s">
        <v>1156</v>
      </c>
      <c r="G319" s="13" t="s">
        <v>1402</v>
      </c>
      <c r="H319" s="11" t="s">
        <v>65</v>
      </c>
      <c r="I319" s="10" t="s">
        <v>1190</v>
      </c>
      <c r="J319" s="10" t="s">
        <v>1400</v>
      </c>
      <c r="L319" s="13" t="s">
        <v>1647</v>
      </c>
      <c r="M319" s="13" t="s">
        <v>1631</v>
      </c>
      <c r="N319" s="13" t="s">
        <v>1640</v>
      </c>
      <c r="O319" s="13" t="s">
        <v>1647</v>
      </c>
      <c r="P319" s="13" t="s">
        <v>1631</v>
      </c>
      <c r="R319" s="13" t="s">
        <v>1647</v>
      </c>
      <c r="S319" s="13" t="s">
        <v>1631</v>
      </c>
      <c r="U319" s="13" t="s">
        <v>1647</v>
      </c>
      <c r="V319" s="13" t="s">
        <v>1631</v>
      </c>
      <c r="W319" s="13"/>
    </row>
    <row r="320" spans="1:23" ht="120" x14ac:dyDescent="0.25">
      <c r="A320" s="10" t="s">
        <v>602</v>
      </c>
      <c r="B320" s="13" t="s">
        <v>1492</v>
      </c>
      <c r="C320" s="10" t="s">
        <v>1182</v>
      </c>
      <c r="D320" s="10" t="s">
        <v>57</v>
      </c>
      <c r="E320" s="13" t="s">
        <v>1039</v>
      </c>
      <c r="F320" s="13" t="s">
        <v>1151</v>
      </c>
      <c r="G320" s="13" t="s">
        <v>1389</v>
      </c>
      <c r="H320" s="11" t="s">
        <v>65</v>
      </c>
      <c r="I320" s="10" t="s">
        <v>1190</v>
      </c>
      <c r="J320" s="10" t="s">
        <v>1390</v>
      </c>
      <c r="L320" s="13" t="s">
        <v>1647</v>
      </c>
      <c r="M320" s="13" t="s">
        <v>1631</v>
      </c>
      <c r="N320" s="13" t="s">
        <v>1640</v>
      </c>
      <c r="O320" s="13" t="s">
        <v>1647</v>
      </c>
      <c r="P320" s="13" t="s">
        <v>1631</v>
      </c>
      <c r="R320" s="13" t="s">
        <v>1647</v>
      </c>
      <c r="S320" s="13" t="s">
        <v>1631</v>
      </c>
      <c r="U320" s="13" t="s">
        <v>1647</v>
      </c>
      <c r="V320" s="13" t="s">
        <v>1631</v>
      </c>
      <c r="W320" s="13"/>
    </row>
    <row r="321" spans="1:23" ht="120" x14ac:dyDescent="0.25">
      <c r="A321" s="10" t="s">
        <v>603</v>
      </c>
      <c r="B321" s="13" t="s">
        <v>1493</v>
      </c>
      <c r="C321" s="10" t="s">
        <v>1182</v>
      </c>
      <c r="D321" s="10" t="s">
        <v>57</v>
      </c>
      <c r="E321" s="13" t="s">
        <v>1039</v>
      </c>
      <c r="F321" s="13" t="s">
        <v>1152</v>
      </c>
      <c r="G321" s="13" t="s">
        <v>1392</v>
      </c>
      <c r="H321" s="11" t="s">
        <v>65</v>
      </c>
      <c r="I321" s="10" t="s">
        <v>1190</v>
      </c>
      <c r="J321" s="10" t="s">
        <v>1390</v>
      </c>
      <c r="L321" s="13" t="s">
        <v>1647</v>
      </c>
      <c r="M321" s="13" t="s">
        <v>1631</v>
      </c>
      <c r="N321" s="13" t="s">
        <v>1640</v>
      </c>
      <c r="O321" s="13" t="s">
        <v>1647</v>
      </c>
      <c r="P321" s="13" t="s">
        <v>1631</v>
      </c>
      <c r="R321" s="13" t="s">
        <v>1647</v>
      </c>
      <c r="S321" s="13" t="s">
        <v>1631</v>
      </c>
      <c r="U321" s="13" t="s">
        <v>1647</v>
      </c>
      <c r="V321" s="13" t="s">
        <v>1631</v>
      </c>
      <c r="W321" s="13"/>
    </row>
    <row r="322" spans="1:23" ht="120" x14ac:dyDescent="0.25">
      <c r="A322" s="10" t="s">
        <v>604</v>
      </c>
      <c r="B322" s="13" t="s">
        <v>1494</v>
      </c>
      <c r="C322" s="10" t="s">
        <v>1182</v>
      </c>
      <c r="D322" s="10" t="s">
        <v>57</v>
      </c>
      <c r="E322" s="13" t="s">
        <v>1039</v>
      </c>
      <c r="F322" s="13" t="s">
        <v>1153</v>
      </c>
      <c r="G322" s="13" t="s">
        <v>1394</v>
      </c>
      <c r="H322" s="11" t="s">
        <v>65</v>
      </c>
      <c r="I322" s="10" t="s">
        <v>1190</v>
      </c>
      <c r="J322" s="10" t="s">
        <v>1395</v>
      </c>
      <c r="L322" s="13" t="s">
        <v>1647</v>
      </c>
      <c r="M322" s="13" t="s">
        <v>1631</v>
      </c>
      <c r="N322" s="13" t="s">
        <v>1640</v>
      </c>
      <c r="O322" s="13" t="s">
        <v>1647</v>
      </c>
      <c r="P322" s="13" t="s">
        <v>1631</v>
      </c>
      <c r="R322" s="13" t="s">
        <v>1647</v>
      </c>
      <c r="S322" s="13" t="s">
        <v>1631</v>
      </c>
      <c r="U322" s="13" t="s">
        <v>1647</v>
      </c>
      <c r="V322" s="13" t="s">
        <v>1631</v>
      </c>
      <c r="W322" s="13"/>
    </row>
    <row r="323" spans="1:23" ht="120" x14ac:dyDescent="0.25">
      <c r="A323" s="10" t="s">
        <v>605</v>
      </c>
      <c r="B323" s="13" t="s">
        <v>1495</v>
      </c>
      <c r="C323" s="10" t="s">
        <v>1182</v>
      </c>
      <c r="D323" s="10" t="s">
        <v>57</v>
      </c>
      <c r="E323" s="13" t="s">
        <v>1039</v>
      </c>
      <c r="F323" s="13" t="s">
        <v>1154</v>
      </c>
      <c r="G323" s="13" t="s">
        <v>1397</v>
      </c>
      <c r="H323" s="11" t="s">
        <v>65</v>
      </c>
      <c r="I323" s="10" t="s">
        <v>1190</v>
      </c>
      <c r="J323" s="10" t="s">
        <v>1395</v>
      </c>
      <c r="L323" s="13" t="s">
        <v>1647</v>
      </c>
      <c r="M323" s="13" t="s">
        <v>1631</v>
      </c>
      <c r="N323" s="13" t="s">
        <v>1640</v>
      </c>
      <c r="O323" s="13" t="s">
        <v>1647</v>
      </c>
      <c r="P323" s="13" t="s">
        <v>1631</v>
      </c>
      <c r="R323" s="13" t="s">
        <v>1647</v>
      </c>
      <c r="S323" s="13" t="s">
        <v>1631</v>
      </c>
      <c r="U323" s="13" t="s">
        <v>1647</v>
      </c>
      <c r="V323" s="13" t="s">
        <v>1631</v>
      </c>
      <c r="W323" s="13"/>
    </row>
    <row r="324" spans="1:23" ht="120" x14ac:dyDescent="0.25">
      <c r="A324" s="10" t="s">
        <v>606</v>
      </c>
      <c r="B324" s="13" t="s">
        <v>1496</v>
      </c>
      <c r="C324" s="10" t="s">
        <v>1182</v>
      </c>
      <c r="D324" s="10" t="s">
        <v>57</v>
      </c>
      <c r="E324" s="13" t="s">
        <v>1039</v>
      </c>
      <c r="F324" s="13" t="s">
        <v>1155</v>
      </c>
      <c r="G324" s="13" t="s">
        <v>1399</v>
      </c>
      <c r="H324" s="11" t="s">
        <v>65</v>
      </c>
      <c r="I324" s="10" t="s">
        <v>1190</v>
      </c>
      <c r="J324" s="10" t="s">
        <v>1400</v>
      </c>
      <c r="L324" s="13" t="s">
        <v>1647</v>
      </c>
      <c r="M324" s="13" t="s">
        <v>1631</v>
      </c>
      <c r="N324" s="13" t="s">
        <v>1640</v>
      </c>
      <c r="O324" s="13" t="s">
        <v>1647</v>
      </c>
      <c r="P324" s="13" t="s">
        <v>1631</v>
      </c>
      <c r="R324" s="13" t="s">
        <v>1647</v>
      </c>
      <c r="S324" s="13" t="s">
        <v>1631</v>
      </c>
      <c r="U324" s="13" t="s">
        <v>1647</v>
      </c>
      <c r="V324" s="13" t="s">
        <v>1631</v>
      </c>
      <c r="W324" s="13"/>
    </row>
    <row r="325" spans="1:23" ht="120" x14ac:dyDescent="0.25">
      <c r="A325" s="10" t="s">
        <v>607</v>
      </c>
      <c r="B325" s="13" t="s">
        <v>1497</v>
      </c>
      <c r="C325" s="10" t="s">
        <v>1182</v>
      </c>
      <c r="D325" s="10" t="s">
        <v>57</v>
      </c>
      <c r="E325" s="13" t="s">
        <v>1039</v>
      </c>
      <c r="F325" s="13" t="s">
        <v>1156</v>
      </c>
      <c r="G325" s="13" t="s">
        <v>1402</v>
      </c>
      <c r="H325" s="11" t="s">
        <v>65</v>
      </c>
      <c r="I325" s="10" t="s">
        <v>1190</v>
      </c>
      <c r="J325" s="10" t="s">
        <v>1400</v>
      </c>
      <c r="L325" s="13" t="s">
        <v>1647</v>
      </c>
      <c r="M325" s="13" t="s">
        <v>1631</v>
      </c>
      <c r="N325" s="13" t="s">
        <v>1640</v>
      </c>
      <c r="O325" s="13" t="s">
        <v>1647</v>
      </c>
      <c r="P325" s="13" t="s">
        <v>1631</v>
      </c>
      <c r="R325" s="13" t="s">
        <v>1647</v>
      </c>
      <c r="S325" s="13" t="s">
        <v>1631</v>
      </c>
      <c r="U325" s="13" t="s">
        <v>1647</v>
      </c>
      <c r="V325" s="13" t="s">
        <v>1631</v>
      </c>
      <c r="W325" s="13"/>
    </row>
    <row r="326" spans="1:23" ht="120" x14ac:dyDescent="0.25">
      <c r="A326" s="10" t="s">
        <v>608</v>
      </c>
      <c r="B326" s="13" t="s">
        <v>1498</v>
      </c>
      <c r="C326" s="10" t="s">
        <v>1182</v>
      </c>
      <c r="D326" s="10" t="s">
        <v>57</v>
      </c>
      <c r="E326" s="13" t="s">
        <v>1040</v>
      </c>
      <c r="F326" s="13" t="s">
        <v>1163</v>
      </c>
      <c r="G326" s="13" t="s">
        <v>1428</v>
      </c>
      <c r="H326" s="11" t="s">
        <v>65</v>
      </c>
      <c r="I326" s="10" t="s">
        <v>1190</v>
      </c>
      <c r="J326" s="10" t="s">
        <v>1429</v>
      </c>
      <c r="L326" s="13" t="s">
        <v>1647</v>
      </c>
      <c r="M326" s="13" t="s">
        <v>1631</v>
      </c>
      <c r="N326" s="13" t="s">
        <v>1640</v>
      </c>
      <c r="O326" s="13" t="s">
        <v>1647</v>
      </c>
      <c r="P326" s="13" t="s">
        <v>1631</v>
      </c>
      <c r="R326" s="13" t="s">
        <v>1647</v>
      </c>
      <c r="S326" s="13" t="s">
        <v>1631</v>
      </c>
      <c r="U326" s="13" t="s">
        <v>1647</v>
      </c>
      <c r="V326" s="13" t="s">
        <v>1631</v>
      </c>
      <c r="W326" s="13"/>
    </row>
    <row r="327" spans="1:23" ht="120" x14ac:dyDescent="0.25">
      <c r="A327" s="10" t="s">
        <v>609</v>
      </c>
      <c r="B327" s="13" t="s">
        <v>1499</v>
      </c>
      <c r="C327" s="10" t="s">
        <v>1182</v>
      </c>
      <c r="D327" s="10" t="s">
        <v>57</v>
      </c>
      <c r="E327" s="13" t="s">
        <v>1040</v>
      </c>
      <c r="F327" s="13" t="s">
        <v>1164</v>
      </c>
      <c r="G327" s="13" t="s">
        <v>1431</v>
      </c>
      <c r="H327" s="11" t="s">
        <v>65</v>
      </c>
      <c r="I327" s="10" t="s">
        <v>1190</v>
      </c>
      <c r="J327" s="10" t="s">
        <v>1429</v>
      </c>
      <c r="L327" s="13" t="s">
        <v>1647</v>
      </c>
      <c r="M327" s="13" t="s">
        <v>1631</v>
      </c>
      <c r="N327" s="13" t="s">
        <v>1640</v>
      </c>
      <c r="O327" s="13" t="s">
        <v>1647</v>
      </c>
      <c r="P327" s="13" t="s">
        <v>1631</v>
      </c>
      <c r="R327" s="13" t="s">
        <v>1647</v>
      </c>
      <c r="S327" s="13" t="s">
        <v>1631</v>
      </c>
      <c r="U327" s="13" t="s">
        <v>1647</v>
      </c>
      <c r="V327" s="13" t="s">
        <v>1631</v>
      </c>
      <c r="W327" s="13"/>
    </row>
    <row r="328" spans="1:23" ht="120" x14ac:dyDescent="0.25">
      <c r="A328" s="10" t="s">
        <v>610</v>
      </c>
      <c r="B328" s="13" t="s">
        <v>1500</v>
      </c>
      <c r="C328" s="10" t="s">
        <v>1182</v>
      </c>
      <c r="D328" s="10" t="s">
        <v>57</v>
      </c>
      <c r="E328" s="13" t="s">
        <v>1040</v>
      </c>
      <c r="F328" s="13" t="s">
        <v>1165</v>
      </c>
      <c r="G328" s="13" t="s">
        <v>1433</v>
      </c>
      <c r="H328" s="11" t="s">
        <v>65</v>
      </c>
      <c r="I328" s="10" t="s">
        <v>1190</v>
      </c>
      <c r="J328" s="10" t="s">
        <v>1434</v>
      </c>
      <c r="L328" s="13" t="s">
        <v>1647</v>
      </c>
      <c r="M328" s="13" t="s">
        <v>1631</v>
      </c>
      <c r="N328" s="13" t="s">
        <v>1640</v>
      </c>
      <c r="O328" s="13" t="s">
        <v>1647</v>
      </c>
      <c r="P328" s="13" t="s">
        <v>1631</v>
      </c>
      <c r="R328" s="13" t="s">
        <v>1647</v>
      </c>
      <c r="S328" s="13" t="s">
        <v>1631</v>
      </c>
      <c r="U328" s="13" t="s">
        <v>1647</v>
      </c>
      <c r="V328" s="13" t="s">
        <v>1631</v>
      </c>
      <c r="W328" s="13"/>
    </row>
    <row r="329" spans="1:23" ht="120" x14ac:dyDescent="0.25">
      <c r="A329" s="10" t="s">
        <v>611</v>
      </c>
      <c r="B329" s="13" t="s">
        <v>1501</v>
      </c>
      <c r="C329" s="10" t="s">
        <v>1182</v>
      </c>
      <c r="D329" s="10" t="s">
        <v>57</v>
      </c>
      <c r="E329" s="13" t="s">
        <v>1040</v>
      </c>
      <c r="F329" s="13" t="s">
        <v>1166</v>
      </c>
      <c r="G329" s="13" t="s">
        <v>1436</v>
      </c>
      <c r="H329" s="11" t="s">
        <v>65</v>
      </c>
      <c r="I329" s="10" t="s">
        <v>1190</v>
      </c>
      <c r="J329" s="10" t="s">
        <v>1434</v>
      </c>
      <c r="L329" s="13" t="s">
        <v>1647</v>
      </c>
      <c r="M329" s="13" t="s">
        <v>1631</v>
      </c>
      <c r="N329" s="13" t="s">
        <v>1640</v>
      </c>
      <c r="O329" s="13" t="s">
        <v>1647</v>
      </c>
      <c r="P329" s="13" t="s">
        <v>1631</v>
      </c>
      <c r="R329" s="13" t="s">
        <v>1647</v>
      </c>
      <c r="S329" s="13" t="s">
        <v>1631</v>
      </c>
      <c r="U329" s="13" t="s">
        <v>1647</v>
      </c>
      <c r="V329" s="13" t="s">
        <v>1631</v>
      </c>
      <c r="W329" s="13"/>
    </row>
    <row r="330" spans="1:23" ht="120" x14ac:dyDescent="0.25">
      <c r="A330" s="10" t="s">
        <v>612</v>
      </c>
      <c r="B330" s="13" t="s">
        <v>1502</v>
      </c>
      <c r="C330" s="10" t="s">
        <v>1182</v>
      </c>
      <c r="D330" s="10" t="s">
        <v>57</v>
      </c>
      <c r="E330" s="13" t="s">
        <v>1040</v>
      </c>
      <c r="F330" s="13" t="s">
        <v>1167</v>
      </c>
      <c r="G330" s="13" t="s">
        <v>1438</v>
      </c>
      <c r="H330" s="11" t="s">
        <v>65</v>
      </c>
      <c r="I330" s="10" t="s">
        <v>1190</v>
      </c>
      <c r="J330" s="10" t="s">
        <v>1439</v>
      </c>
      <c r="L330" s="13" t="s">
        <v>1647</v>
      </c>
      <c r="M330" s="13" t="s">
        <v>1631</v>
      </c>
      <c r="N330" s="13" t="s">
        <v>1640</v>
      </c>
      <c r="O330" s="13" t="s">
        <v>1647</v>
      </c>
      <c r="P330" s="13" t="s">
        <v>1631</v>
      </c>
      <c r="R330" s="13" t="s">
        <v>1647</v>
      </c>
      <c r="S330" s="13" t="s">
        <v>1631</v>
      </c>
      <c r="U330" s="13" t="s">
        <v>1647</v>
      </c>
      <c r="V330" s="13" t="s">
        <v>1631</v>
      </c>
      <c r="W330" s="13"/>
    </row>
    <row r="331" spans="1:23" ht="120" x14ac:dyDescent="0.25">
      <c r="A331" s="10" t="s">
        <v>613</v>
      </c>
      <c r="B331" s="13" t="s">
        <v>1503</v>
      </c>
      <c r="C331" s="10" t="s">
        <v>1182</v>
      </c>
      <c r="D331" s="10" t="s">
        <v>57</v>
      </c>
      <c r="E331" s="13" t="s">
        <v>1040</v>
      </c>
      <c r="F331" s="13" t="s">
        <v>1168</v>
      </c>
      <c r="G331" s="13" t="s">
        <v>1441</v>
      </c>
      <c r="H331" s="11" t="s">
        <v>65</v>
      </c>
      <c r="I331" s="10" t="s">
        <v>1190</v>
      </c>
      <c r="J331" s="10" t="s">
        <v>1439</v>
      </c>
      <c r="L331" s="13" t="s">
        <v>1647</v>
      </c>
      <c r="M331" s="13" t="s">
        <v>1631</v>
      </c>
      <c r="N331" s="13" t="s">
        <v>1640</v>
      </c>
      <c r="O331" s="13" t="s">
        <v>1647</v>
      </c>
      <c r="P331" s="13" t="s">
        <v>1631</v>
      </c>
      <c r="R331" s="13" t="s">
        <v>1647</v>
      </c>
      <c r="S331" s="13" t="s">
        <v>1631</v>
      </c>
      <c r="U331" s="13" t="s">
        <v>1647</v>
      </c>
      <c r="V331" s="13" t="s">
        <v>1631</v>
      </c>
      <c r="W331" s="13"/>
    </row>
    <row r="332" spans="1:23" ht="120" x14ac:dyDescent="0.25">
      <c r="A332" s="10" t="s">
        <v>614</v>
      </c>
      <c r="B332" s="13" t="s">
        <v>1504</v>
      </c>
      <c r="C332" s="10" t="s">
        <v>1182</v>
      </c>
      <c r="D332" s="10" t="s">
        <v>57</v>
      </c>
      <c r="E332" s="13" t="s">
        <v>1041</v>
      </c>
      <c r="F332" s="13" t="s">
        <v>1169</v>
      </c>
      <c r="G332" s="13" t="s">
        <v>1449</v>
      </c>
      <c r="H332" s="11" t="s">
        <v>65</v>
      </c>
      <c r="I332" s="10" t="s">
        <v>1190</v>
      </c>
      <c r="J332" s="10" t="s">
        <v>1450</v>
      </c>
      <c r="L332" s="13" t="s">
        <v>1647</v>
      </c>
      <c r="M332" s="13" t="s">
        <v>1631</v>
      </c>
      <c r="N332" s="13" t="s">
        <v>1640</v>
      </c>
      <c r="O332" s="13" t="s">
        <v>1647</v>
      </c>
      <c r="P332" s="13" t="s">
        <v>1631</v>
      </c>
      <c r="R332" s="13" t="s">
        <v>1647</v>
      </c>
      <c r="S332" s="13" t="s">
        <v>1631</v>
      </c>
      <c r="U332" s="13" t="s">
        <v>1647</v>
      </c>
      <c r="V332" s="13" t="s">
        <v>1631</v>
      </c>
      <c r="W332" s="13"/>
    </row>
    <row r="333" spans="1:23" ht="120" x14ac:dyDescent="0.25">
      <c r="A333" s="10" t="s">
        <v>615</v>
      </c>
      <c r="B333" s="13" t="s">
        <v>1505</v>
      </c>
      <c r="C333" s="10" t="s">
        <v>1182</v>
      </c>
      <c r="D333" s="10" t="s">
        <v>57</v>
      </c>
      <c r="E333" s="13" t="s">
        <v>1041</v>
      </c>
      <c r="F333" s="13" t="s">
        <v>1170</v>
      </c>
      <c r="G333" s="13" t="s">
        <v>1452</v>
      </c>
      <c r="H333" s="11" t="s">
        <v>65</v>
      </c>
      <c r="I333" s="10" t="s">
        <v>1190</v>
      </c>
      <c r="J333" s="10" t="s">
        <v>1450</v>
      </c>
      <c r="L333" s="13" t="s">
        <v>1647</v>
      </c>
      <c r="M333" s="13" t="s">
        <v>1631</v>
      </c>
      <c r="N333" s="13" t="s">
        <v>1640</v>
      </c>
      <c r="O333" s="13" t="s">
        <v>1647</v>
      </c>
      <c r="P333" s="13" t="s">
        <v>1631</v>
      </c>
      <c r="R333" s="13" t="s">
        <v>1647</v>
      </c>
      <c r="S333" s="13" t="s">
        <v>1631</v>
      </c>
      <c r="U333" s="13" t="s">
        <v>1647</v>
      </c>
      <c r="V333" s="13" t="s">
        <v>1631</v>
      </c>
      <c r="W333" s="13"/>
    </row>
    <row r="334" spans="1:23" ht="120" x14ac:dyDescent="0.25">
      <c r="A334" s="10" t="s">
        <v>616</v>
      </c>
      <c r="B334" s="13" t="s">
        <v>1506</v>
      </c>
      <c r="C334" s="10" t="s">
        <v>1182</v>
      </c>
      <c r="D334" s="10" t="s">
        <v>57</v>
      </c>
      <c r="E334" s="13" t="s">
        <v>1041</v>
      </c>
      <c r="F334" s="13" t="s">
        <v>1171</v>
      </c>
      <c r="G334" s="13" t="s">
        <v>1454</v>
      </c>
      <c r="H334" s="11" t="s">
        <v>65</v>
      </c>
      <c r="I334" s="10" t="s">
        <v>1190</v>
      </c>
      <c r="J334" s="10" t="s">
        <v>1455</v>
      </c>
      <c r="L334" s="13" t="s">
        <v>1647</v>
      </c>
      <c r="M334" s="13" t="s">
        <v>1631</v>
      </c>
      <c r="N334" s="13" t="s">
        <v>1640</v>
      </c>
      <c r="O334" s="13" t="s">
        <v>1647</v>
      </c>
      <c r="P334" s="13" t="s">
        <v>1631</v>
      </c>
      <c r="R334" s="13" t="s">
        <v>1647</v>
      </c>
      <c r="S334" s="13" t="s">
        <v>1631</v>
      </c>
      <c r="U334" s="13" t="s">
        <v>1647</v>
      </c>
      <c r="V334" s="13" t="s">
        <v>1631</v>
      </c>
      <c r="W334" s="13"/>
    </row>
    <row r="335" spans="1:23" ht="120" x14ac:dyDescent="0.25">
      <c r="A335" s="10" t="s">
        <v>617</v>
      </c>
      <c r="B335" s="13" t="s">
        <v>1507</v>
      </c>
      <c r="C335" s="10" t="s">
        <v>1182</v>
      </c>
      <c r="D335" s="10" t="s">
        <v>57</v>
      </c>
      <c r="E335" s="13" t="s">
        <v>1041</v>
      </c>
      <c r="F335" s="13" t="s">
        <v>1172</v>
      </c>
      <c r="G335" s="13" t="s">
        <v>1457</v>
      </c>
      <c r="H335" s="11" t="s">
        <v>65</v>
      </c>
      <c r="I335" s="10" t="s">
        <v>1190</v>
      </c>
      <c r="J335" s="10" t="s">
        <v>1455</v>
      </c>
      <c r="L335" s="13" t="s">
        <v>1647</v>
      </c>
      <c r="M335" s="13" t="s">
        <v>1631</v>
      </c>
      <c r="N335" s="13" t="s">
        <v>1640</v>
      </c>
      <c r="O335" s="13" t="s">
        <v>1647</v>
      </c>
      <c r="P335" s="13" t="s">
        <v>1631</v>
      </c>
      <c r="R335" s="13" t="s">
        <v>1647</v>
      </c>
      <c r="S335" s="13" t="s">
        <v>1631</v>
      </c>
      <c r="U335" s="13" t="s">
        <v>1647</v>
      </c>
      <c r="V335" s="13" t="s">
        <v>1631</v>
      </c>
      <c r="W335" s="13"/>
    </row>
    <row r="336" spans="1:23" ht="120" x14ac:dyDescent="0.25">
      <c r="A336" s="10" t="s">
        <v>618</v>
      </c>
      <c r="B336" s="13" t="s">
        <v>1508</v>
      </c>
      <c r="C336" s="10" t="s">
        <v>1182</v>
      </c>
      <c r="D336" s="10" t="s">
        <v>57</v>
      </c>
      <c r="E336" s="13" t="s">
        <v>1042</v>
      </c>
      <c r="F336" s="13" t="s">
        <v>1169</v>
      </c>
      <c r="G336" s="13" t="s">
        <v>1449</v>
      </c>
      <c r="H336" s="11" t="s">
        <v>65</v>
      </c>
      <c r="I336" s="10" t="s">
        <v>1190</v>
      </c>
      <c r="J336" s="10" t="s">
        <v>1450</v>
      </c>
      <c r="L336" s="13" t="s">
        <v>1647</v>
      </c>
      <c r="M336" s="13" t="s">
        <v>1631</v>
      </c>
      <c r="N336" s="13" t="s">
        <v>1640</v>
      </c>
      <c r="O336" s="13" t="s">
        <v>1647</v>
      </c>
      <c r="P336" s="13" t="s">
        <v>1631</v>
      </c>
      <c r="R336" s="13" t="s">
        <v>1647</v>
      </c>
      <c r="S336" s="13" t="s">
        <v>1631</v>
      </c>
      <c r="U336" s="13" t="s">
        <v>1647</v>
      </c>
      <c r="V336" s="13" t="s">
        <v>1631</v>
      </c>
      <c r="W336" s="13"/>
    </row>
    <row r="337" spans="1:23" ht="120" x14ac:dyDescent="0.25">
      <c r="A337" s="10" t="s">
        <v>619</v>
      </c>
      <c r="B337" s="13" t="s">
        <v>1509</v>
      </c>
      <c r="C337" s="10" t="s">
        <v>1182</v>
      </c>
      <c r="D337" s="10" t="s">
        <v>57</v>
      </c>
      <c r="E337" s="13" t="s">
        <v>1042</v>
      </c>
      <c r="F337" s="13" t="s">
        <v>1170</v>
      </c>
      <c r="G337" s="13" t="s">
        <v>1452</v>
      </c>
      <c r="H337" s="11" t="s">
        <v>65</v>
      </c>
      <c r="I337" s="10" t="s">
        <v>1190</v>
      </c>
      <c r="J337" s="10" t="s">
        <v>1450</v>
      </c>
      <c r="L337" s="13" t="s">
        <v>1647</v>
      </c>
      <c r="M337" s="13" t="s">
        <v>1631</v>
      </c>
      <c r="N337" s="13" t="s">
        <v>1640</v>
      </c>
      <c r="O337" s="13" t="s">
        <v>1647</v>
      </c>
      <c r="P337" s="13" t="s">
        <v>1631</v>
      </c>
      <c r="R337" s="13" t="s">
        <v>1647</v>
      </c>
      <c r="S337" s="13" t="s">
        <v>1631</v>
      </c>
      <c r="U337" s="13" t="s">
        <v>1647</v>
      </c>
      <c r="V337" s="13" t="s">
        <v>1631</v>
      </c>
      <c r="W337" s="13"/>
    </row>
    <row r="338" spans="1:23" ht="120" x14ac:dyDescent="0.25">
      <c r="A338" s="10" t="s">
        <v>620</v>
      </c>
      <c r="B338" s="13" t="s">
        <v>1510</v>
      </c>
      <c r="C338" s="10" t="s">
        <v>1182</v>
      </c>
      <c r="D338" s="10" t="s">
        <v>57</v>
      </c>
      <c r="E338" s="13" t="s">
        <v>1042</v>
      </c>
      <c r="F338" s="13" t="s">
        <v>1171</v>
      </c>
      <c r="G338" s="13" t="s">
        <v>1454</v>
      </c>
      <c r="H338" s="11" t="s">
        <v>65</v>
      </c>
      <c r="I338" s="10" t="s">
        <v>1190</v>
      </c>
      <c r="J338" s="10" t="s">
        <v>1455</v>
      </c>
      <c r="L338" s="13" t="s">
        <v>1647</v>
      </c>
      <c r="M338" s="13" t="s">
        <v>1631</v>
      </c>
      <c r="N338" s="13" t="s">
        <v>1640</v>
      </c>
      <c r="O338" s="13" t="s">
        <v>1647</v>
      </c>
      <c r="P338" s="13" t="s">
        <v>1631</v>
      </c>
      <c r="R338" s="13" t="s">
        <v>1647</v>
      </c>
      <c r="S338" s="13" t="s">
        <v>1631</v>
      </c>
      <c r="U338" s="13" t="s">
        <v>1647</v>
      </c>
      <c r="V338" s="13" t="s">
        <v>1631</v>
      </c>
      <c r="W338" s="13"/>
    </row>
    <row r="339" spans="1:23" ht="120" x14ac:dyDescent="0.25">
      <c r="A339" s="10" t="s">
        <v>621</v>
      </c>
      <c r="B339" s="13" t="s">
        <v>1511</v>
      </c>
      <c r="C339" s="10" t="s">
        <v>1182</v>
      </c>
      <c r="D339" s="10" t="s">
        <v>57</v>
      </c>
      <c r="E339" s="13" t="s">
        <v>1042</v>
      </c>
      <c r="F339" s="13" t="s">
        <v>1172</v>
      </c>
      <c r="G339" s="13" t="s">
        <v>1457</v>
      </c>
      <c r="H339" s="11" t="s">
        <v>65</v>
      </c>
      <c r="I339" s="10" t="s">
        <v>1190</v>
      </c>
      <c r="J339" s="10" t="s">
        <v>1455</v>
      </c>
      <c r="L339" s="13" t="s">
        <v>1647</v>
      </c>
      <c r="M339" s="13" t="s">
        <v>1631</v>
      </c>
      <c r="N339" s="13" t="s">
        <v>1640</v>
      </c>
      <c r="O339" s="13" t="s">
        <v>1647</v>
      </c>
      <c r="P339" s="13" t="s">
        <v>1631</v>
      </c>
      <c r="R339" s="13" t="s">
        <v>1647</v>
      </c>
      <c r="S339" s="13" t="s">
        <v>1631</v>
      </c>
      <c r="U339" s="13" t="s">
        <v>1647</v>
      </c>
      <c r="V339" s="13" t="s">
        <v>1631</v>
      </c>
      <c r="W339" s="13"/>
    </row>
    <row r="340" spans="1:23" ht="195" x14ac:dyDescent="0.25">
      <c r="A340" s="10" t="s">
        <v>622</v>
      </c>
      <c r="B340" s="10" t="s">
        <v>1043</v>
      </c>
      <c r="C340" s="10" t="s">
        <v>1182</v>
      </c>
      <c r="D340" s="10" t="s">
        <v>57</v>
      </c>
      <c r="E340" s="13" t="s">
        <v>1044</v>
      </c>
      <c r="F340" s="13" t="s">
        <v>848</v>
      </c>
      <c r="G340" s="13" t="s">
        <v>899</v>
      </c>
      <c r="H340" s="11" t="s">
        <v>65</v>
      </c>
      <c r="I340" s="10" t="s">
        <v>1190</v>
      </c>
      <c r="J340" s="10" t="s">
        <v>1620</v>
      </c>
      <c r="L340" s="13" t="s">
        <v>1647</v>
      </c>
      <c r="M340" s="13" t="s">
        <v>1631</v>
      </c>
      <c r="N340" s="13" t="s">
        <v>1640</v>
      </c>
      <c r="O340" s="13" t="s">
        <v>1647</v>
      </c>
      <c r="P340" s="13" t="s">
        <v>1631</v>
      </c>
      <c r="R340" s="13" t="s">
        <v>1647</v>
      </c>
      <c r="S340" s="13" t="s">
        <v>1631</v>
      </c>
      <c r="U340" s="13" t="s">
        <v>1647</v>
      </c>
      <c r="V340" s="13" t="s">
        <v>1631</v>
      </c>
      <c r="W340" s="13"/>
    </row>
    <row r="341" spans="1:23" ht="105" x14ac:dyDescent="0.25">
      <c r="A341" s="10" t="s">
        <v>623</v>
      </c>
      <c r="B341" s="10" t="s">
        <v>1045</v>
      </c>
      <c r="C341" s="10" t="s">
        <v>1182</v>
      </c>
      <c r="D341" s="10" t="s">
        <v>57</v>
      </c>
      <c r="E341" s="13" t="s">
        <v>1044</v>
      </c>
      <c r="F341" s="13" t="s">
        <v>848</v>
      </c>
      <c r="G341" s="13" t="s">
        <v>868</v>
      </c>
      <c r="H341" s="11" t="s">
        <v>65</v>
      </c>
      <c r="I341" s="10" t="s">
        <v>1190</v>
      </c>
      <c r="J341" s="10" t="s">
        <v>869</v>
      </c>
      <c r="L341" s="13" t="s">
        <v>1647</v>
      </c>
      <c r="M341" s="13" t="s">
        <v>1631</v>
      </c>
      <c r="N341" s="13" t="s">
        <v>1640</v>
      </c>
      <c r="O341" s="13" t="s">
        <v>1647</v>
      </c>
      <c r="P341" s="13" t="s">
        <v>1631</v>
      </c>
      <c r="R341" s="13" t="s">
        <v>1647</v>
      </c>
      <c r="S341" s="13" t="s">
        <v>1631</v>
      </c>
      <c r="U341" s="13" t="s">
        <v>1647</v>
      </c>
      <c r="V341" s="13" t="s">
        <v>1631</v>
      </c>
      <c r="W341" s="13"/>
    </row>
    <row r="342" spans="1:23" ht="195" x14ac:dyDescent="0.25">
      <c r="A342" s="10" t="s">
        <v>624</v>
      </c>
      <c r="B342" s="10" t="s">
        <v>1046</v>
      </c>
      <c r="C342" s="10" t="s">
        <v>1182</v>
      </c>
      <c r="D342" s="10" t="s">
        <v>57</v>
      </c>
      <c r="E342" s="13" t="s">
        <v>1047</v>
      </c>
      <c r="F342" s="13" t="s">
        <v>848</v>
      </c>
      <c r="G342" s="13" t="s">
        <v>899</v>
      </c>
      <c r="H342" s="11" t="s">
        <v>65</v>
      </c>
      <c r="I342" s="10" t="s">
        <v>1190</v>
      </c>
      <c r="J342" s="10" t="s">
        <v>1620</v>
      </c>
      <c r="L342" s="13" t="s">
        <v>1647</v>
      </c>
      <c r="M342" s="13" t="s">
        <v>1631</v>
      </c>
      <c r="N342" s="13" t="s">
        <v>1640</v>
      </c>
      <c r="O342" s="13" t="s">
        <v>1647</v>
      </c>
      <c r="P342" s="13" t="s">
        <v>1631</v>
      </c>
      <c r="R342" s="13" t="s">
        <v>1647</v>
      </c>
      <c r="S342" s="13" t="s">
        <v>1631</v>
      </c>
      <c r="U342" s="13" t="s">
        <v>1647</v>
      </c>
      <c r="V342" s="13" t="s">
        <v>1631</v>
      </c>
      <c r="W342" s="13"/>
    </row>
    <row r="343" spans="1:23" ht="105" x14ac:dyDescent="0.25">
      <c r="A343" s="10" t="s">
        <v>625</v>
      </c>
      <c r="B343" s="10" t="s">
        <v>1048</v>
      </c>
      <c r="C343" s="10" t="s">
        <v>1182</v>
      </c>
      <c r="D343" s="10" t="s">
        <v>57</v>
      </c>
      <c r="E343" s="13" t="s">
        <v>1047</v>
      </c>
      <c r="F343" s="13" t="s">
        <v>848</v>
      </c>
      <c r="G343" s="13" t="s">
        <v>868</v>
      </c>
      <c r="H343" s="11" t="s">
        <v>65</v>
      </c>
      <c r="I343" s="10" t="s">
        <v>1190</v>
      </c>
      <c r="J343" s="10" t="s">
        <v>869</v>
      </c>
      <c r="L343" s="13" t="s">
        <v>1647</v>
      </c>
      <c r="M343" s="13" t="s">
        <v>1631</v>
      </c>
      <c r="N343" s="13" t="s">
        <v>1640</v>
      </c>
      <c r="O343" s="13" t="s">
        <v>1647</v>
      </c>
      <c r="P343" s="13" t="s">
        <v>1631</v>
      </c>
      <c r="R343" s="13" t="s">
        <v>1647</v>
      </c>
      <c r="S343" s="13" t="s">
        <v>1631</v>
      </c>
      <c r="U343" s="13" t="s">
        <v>1647</v>
      </c>
      <c r="V343" s="13" t="s">
        <v>1631</v>
      </c>
      <c r="W343" s="13"/>
    </row>
    <row r="344" spans="1:23" ht="195" x14ac:dyDescent="0.25">
      <c r="A344" s="10" t="s">
        <v>626</v>
      </c>
      <c r="B344" s="10" t="s">
        <v>1049</v>
      </c>
      <c r="C344" s="10" t="s">
        <v>1182</v>
      </c>
      <c r="D344" s="10" t="s">
        <v>57</v>
      </c>
      <c r="E344" s="13" t="s">
        <v>1050</v>
      </c>
      <c r="F344" s="13" t="s">
        <v>848</v>
      </c>
      <c r="G344" s="13" t="s">
        <v>899</v>
      </c>
      <c r="H344" s="11" t="s">
        <v>65</v>
      </c>
      <c r="I344" s="10" t="s">
        <v>1190</v>
      </c>
      <c r="J344" s="10" t="s">
        <v>1621</v>
      </c>
      <c r="L344" s="13" t="s">
        <v>1647</v>
      </c>
      <c r="M344" s="13" t="s">
        <v>1631</v>
      </c>
      <c r="N344" s="13" t="s">
        <v>1640</v>
      </c>
      <c r="O344" s="13" t="s">
        <v>1647</v>
      </c>
      <c r="P344" s="13" t="s">
        <v>1631</v>
      </c>
      <c r="R344" s="13" t="s">
        <v>1647</v>
      </c>
      <c r="S344" s="13" t="s">
        <v>1631</v>
      </c>
      <c r="U344" s="13" t="s">
        <v>1647</v>
      </c>
      <c r="V344" s="13" t="s">
        <v>1631</v>
      </c>
      <c r="W344" s="13"/>
    </row>
    <row r="345" spans="1:23" ht="105" x14ac:dyDescent="0.25">
      <c r="A345" s="10" t="s">
        <v>627</v>
      </c>
      <c r="B345" s="10" t="s">
        <v>1051</v>
      </c>
      <c r="C345" s="10" t="s">
        <v>1182</v>
      </c>
      <c r="D345" s="10" t="s">
        <v>57</v>
      </c>
      <c r="E345" s="13" t="s">
        <v>1050</v>
      </c>
      <c r="F345" s="13" t="s">
        <v>848</v>
      </c>
      <c r="G345" s="13" t="s">
        <v>868</v>
      </c>
      <c r="H345" s="11" t="s">
        <v>65</v>
      </c>
      <c r="I345" s="10" t="s">
        <v>1190</v>
      </c>
      <c r="J345" s="10" t="s">
        <v>885</v>
      </c>
      <c r="L345" s="13" t="s">
        <v>1647</v>
      </c>
      <c r="M345" s="13" t="s">
        <v>1631</v>
      </c>
      <c r="N345" s="13" t="s">
        <v>1640</v>
      </c>
      <c r="O345" s="13" t="s">
        <v>1647</v>
      </c>
      <c r="P345" s="13" t="s">
        <v>1631</v>
      </c>
      <c r="R345" s="13" t="s">
        <v>1647</v>
      </c>
      <c r="S345" s="13" t="s">
        <v>1631</v>
      </c>
      <c r="U345" s="13" t="s">
        <v>1647</v>
      </c>
      <c r="V345" s="13" t="s">
        <v>1631</v>
      </c>
      <c r="W345" s="13"/>
    </row>
    <row r="346" spans="1:23" ht="195" x14ac:dyDescent="0.25">
      <c r="A346" s="10" t="s">
        <v>628</v>
      </c>
      <c r="B346" s="10" t="s">
        <v>1052</v>
      </c>
      <c r="C346" s="10" t="s">
        <v>1182</v>
      </c>
      <c r="D346" s="10" t="s">
        <v>57</v>
      </c>
      <c r="E346" s="13" t="s">
        <v>1053</v>
      </c>
      <c r="F346" s="13" t="s">
        <v>848</v>
      </c>
      <c r="G346" s="13" t="s">
        <v>899</v>
      </c>
      <c r="H346" s="11" t="s">
        <v>65</v>
      </c>
      <c r="I346" s="10" t="s">
        <v>1190</v>
      </c>
      <c r="J346" s="10" t="s">
        <v>1621</v>
      </c>
      <c r="L346" s="13" t="s">
        <v>1647</v>
      </c>
      <c r="M346" s="13" t="s">
        <v>1631</v>
      </c>
      <c r="N346" s="13" t="s">
        <v>1640</v>
      </c>
      <c r="O346" s="13" t="s">
        <v>1647</v>
      </c>
      <c r="P346" s="13" t="s">
        <v>1631</v>
      </c>
      <c r="R346" s="13" t="s">
        <v>1647</v>
      </c>
      <c r="S346" s="13" t="s">
        <v>1631</v>
      </c>
      <c r="U346" s="13" t="s">
        <v>1647</v>
      </c>
      <c r="V346" s="13" t="s">
        <v>1631</v>
      </c>
      <c r="W346" s="13"/>
    </row>
    <row r="347" spans="1:23" ht="105" x14ac:dyDescent="0.25">
      <c r="A347" s="10" t="s">
        <v>629</v>
      </c>
      <c r="B347" s="10" t="s">
        <v>1054</v>
      </c>
      <c r="C347" s="10" t="s">
        <v>1182</v>
      </c>
      <c r="D347" s="10" t="s">
        <v>57</v>
      </c>
      <c r="E347" s="13" t="s">
        <v>1053</v>
      </c>
      <c r="F347" s="13" t="s">
        <v>848</v>
      </c>
      <c r="G347" s="13" t="s">
        <v>868</v>
      </c>
      <c r="H347" s="11" t="s">
        <v>65</v>
      </c>
      <c r="I347" s="10" t="s">
        <v>1190</v>
      </c>
      <c r="J347" s="10" t="s">
        <v>885</v>
      </c>
      <c r="L347" s="13" t="s">
        <v>1647</v>
      </c>
      <c r="M347" s="13" t="s">
        <v>1631</v>
      </c>
      <c r="N347" s="13" t="s">
        <v>1640</v>
      </c>
      <c r="O347" s="13" t="s">
        <v>1647</v>
      </c>
      <c r="P347" s="13" t="s">
        <v>1631</v>
      </c>
      <c r="R347" s="13" t="s">
        <v>1647</v>
      </c>
      <c r="S347" s="13" t="s">
        <v>1631</v>
      </c>
      <c r="U347" s="13" t="s">
        <v>1647</v>
      </c>
      <c r="V347" s="13" t="s">
        <v>1631</v>
      </c>
      <c r="W347" s="13"/>
    </row>
    <row r="348" spans="1:23" ht="195" x14ac:dyDescent="0.25">
      <c r="A348" s="10" t="s">
        <v>630</v>
      </c>
      <c r="B348" s="10" t="s">
        <v>1055</v>
      </c>
      <c r="C348" s="10" t="s">
        <v>1182</v>
      </c>
      <c r="D348" s="10" t="s">
        <v>57</v>
      </c>
      <c r="E348" s="13" t="s">
        <v>1056</v>
      </c>
      <c r="F348" s="13" t="s">
        <v>848</v>
      </c>
      <c r="G348" s="13" t="s">
        <v>899</v>
      </c>
      <c r="H348" s="11" t="s">
        <v>65</v>
      </c>
      <c r="I348" s="10" t="s">
        <v>1190</v>
      </c>
      <c r="J348" s="10" t="s">
        <v>1622</v>
      </c>
      <c r="L348" s="13" t="s">
        <v>1647</v>
      </c>
      <c r="M348" s="13" t="s">
        <v>1631</v>
      </c>
      <c r="N348" s="13" t="s">
        <v>1640</v>
      </c>
      <c r="O348" s="13" t="s">
        <v>1647</v>
      </c>
      <c r="P348" s="13" t="s">
        <v>1631</v>
      </c>
      <c r="R348" s="13" t="s">
        <v>1647</v>
      </c>
      <c r="S348" s="13" t="s">
        <v>1631</v>
      </c>
      <c r="U348" s="13" t="s">
        <v>1647</v>
      </c>
      <c r="V348" s="13" t="s">
        <v>1631</v>
      </c>
      <c r="W348" s="13"/>
    </row>
    <row r="349" spans="1:23" ht="105" x14ac:dyDescent="0.25">
      <c r="A349" s="10" t="s">
        <v>631</v>
      </c>
      <c r="B349" s="10" t="s">
        <v>1057</v>
      </c>
      <c r="C349" s="10" t="s">
        <v>1182</v>
      </c>
      <c r="D349" s="10" t="s">
        <v>57</v>
      </c>
      <c r="E349" s="13" t="s">
        <v>1056</v>
      </c>
      <c r="F349" s="13" t="s">
        <v>848</v>
      </c>
      <c r="G349" s="13" t="s">
        <v>868</v>
      </c>
      <c r="H349" s="11" t="s">
        <v>65</v>
      </c>
      <c r="I349" s="10" t="s">
        <v>1190</v>
      </c>
      <c r="J349" s="10" t="s">
        <v>890</v>
      </c>
      <c r="L349" s="13" t="s">
        <v>1647</v>
      </c>
      <c r="M349" s="13" t="s">
        <v>1631</v>
      </c>
      <c r="N349" s="13" t="s">
        <v>1640</v>
      </c>
      <c r="O349" s="13" t="s">
        <v>1647</v>
      </c>
      <c r="P349" s="13" t="s">
        <v>1631</v>
      </c>
      <c r="R349" s="13" t="s">
        <v>1647</v>
      </c>
      <c r="S349" s="13" t="s">
        <v>1631</v>
      </c>
      <c r="U349" s="13" t="s">
        <v>1647</v>
      </c>
      <c r="V349" s="13" t="s">
        <v>1631</v>
      </c>
      <c r="W349" s="13"/>
    </row>
    <row r="350" spans="1:23" ht="195" x14ac:dyDescent="0.25">
      <c r="A350" s="10" t="s">
        <v>632</v>
      </c>
      <c r="B350" s="10" t="s">
        <v>1058</v>
      </c>
      <c r="C350" s="10" t="s">
        <v>1182</v>
      </c>
      <c r="D350" s="10" t="s">
        <v>57</v>
      </c>
      <c r="E350" s="13" t="s">
        <v>1059</v>
      </c>
      <c r="F350" s="13" t="s">
        <v>848</v>
      </c>
      <c r="G350" s="13" t="s">
        <v>899</v>
      </c>
      <c r="H350" s="11" t="s">
        <v>65</v>
      </c>
      <c r="I350" s="10" t="s">
        <v>1190</v>
      </c>
      <c r="J350" s="10" t="s">
        <v>1623</v>
      </c>
      <c r="L350" s="13" t="s">
        <v>1647</v>
      </c>
      <c r="M350" s="13" t="s">
        <v>1631</v>
      </c>
      <c r="N350" s="13" t="s">
        <v>1640</v>
      </c>
      <c r="O350" s="13" t="s">
        <v>1647</v>
      </c>
      <c r="P350" s="13" t="s">
        <v>1631</v>
      </c>
      <c r="R350" s="13" t="s">
        <v>1647</v>
      </c>
      <c r="S350" s="13" t="s">
        <v>1631</v>
      </c>
      <c r="U350" s="13" t="s">
        <v>1647</v>
      </c>
      <c r="V350" s="13" t="s">
        <v>1631</v>
      </c>
      <c r="W350" s="13"/>
    </row>
    <row r="351" spans="1:23" ht="105" x14ac:dyDescent="0.25">
      <c r="A351" s="10" t="s">
        <v>633</v>
      </c>
      <c r="B351" s="10" t="s">
        <v>1060</v>
      </c>
      <c r="C351" s="10" t="s">
        <v>1182</v>
      </c>
      <c r="D351" s="10" t="s">
        <v>57</v>
      </c>
      <c r="E351" s="13" t="s">
        <v>1059</v>
      </c>
      <c r="F351" s="13" t="s">
        <v>848</v>
      </c>
      <c r="G351" s="13" t="s">
        <v>868</v>
      </c>
      <c r="H351" s="11" t="s">
        <v>65</v>
      </c>
      <c r="I351" s="10" t="s">
        <v>1190</v>
      </c>
      <c r="J351" s="10" t="s">
        <v>893</v>
      </c>
      <c r="L351" s="13" t="s">
        <v>1647</v>
      </c>
      <c r="M351" s="13" t="s">
        <v>1631</v>
      </c>
      <c r="N351" s="13" t="s">
        <v>1640</v>
      </c>
      <c r="O351" s="13" t="s">
        <v>1647</v>
      </c>
      <c r="P351" s="13" t="s">
        <v>1631</v>
      </c>
      <c r="R351" s="13" t="s">
        <v>1647</v>
      </c>
      <c r="S351" s="13" t="s">
        <v>1631</v>
      </c>
      <c r="U351" s="13" t="s">
        <v>1647</v>
      </c>
      <c r="V351" s="13" t="s">
        <v>1631</v>
      </c>
      <c r="W351" s="13"/>
    </row>
    <row r="352" spans="1:23" ht="195" x14ac:dyDescent="0.25">
      <c r="A352" s="10" t="s">
        <v>634</v>
      </c>
      <c r="B352" s="10" t="s">
        <v>1061</v>
      </c>
      <c r="C352" s="10" t="s">
        <v>1182</v>
      </c>
      <c r="D352" s="10" t="s">
        <v>57</v>
      </c>
      <c r="E352" s="13" t="s">
        <v>1062</v>
      </c>
      <c r="F352" s="13" t="s">
        <v>848</v>
      </c>
      <c r="G352" s="13" t="s">
        <v>899</v>
      </c>
      <c r="H352" s="11" t="s">
        <v>65</v>
      </c>
      <c r="I352" s="10" t="s">
        <v>1190</v>
      </c>
      <c r="J352" s="10" t="s">
        <v>1623</v>
      </c>
      <c r="L352" s="13" t="s">
        <v>1647</v>
      </c>
      <c r="M352" s="13" t="s">
        <v>1631</v>
      </c>
      <c r="N352" s="13" t="s">
        <v>1640</v>
      </c>
      <c r="O352" s="13" t="s">
        <v>1647</v>
      </c>
      <c r="P352" s="13" t="s">
        <v>1631</v>
      </c>
      <c r="R352" s="13" t="s">
        <v>1647</v>
      </c>
      <c r="S352" s="13" t="s">
        <v>1631</v>
      </c>
      <c r="U352" s="13" t="s">
        <v>1647</v>
      </c>
      <c r="V352" s="13" t="s">
        <v>1631</v>
      </c>
      <c r="W352" s="13"/>
    </row>
    <row r="353" spans="1:23" ht="105" x14ac:dyDescent="0.25">
      <c r="A353" s="10" t="s">
        <v>635</v>
      </c>
      <c r="B353" s="10" t="s">
        <v>1063</v>
      </c>
      <c r="C353" s="10" t="s">
        <v>1182</v>
      </c>
      <c r="D353" s="10" t="s">
        <v>57</v>
      </c>
      <c r="E353" s="13" t="s">
        <v>1062</v>
      </c>
      <c r="F353" s="13" t="s">
        <v>848</v>
      </c>
      <c r="G353" s="13" t="s">
        <v>868</v>
      </c>
      <c r="H353" s="11" t="s">
        <v>65</v>
      </c>
      <c r="I353" s="10" t="s">
        <v>1190</v>
      </c>
      <c r="J353" s="10" t="s">
        <v>893</v>
      </c>
      <c r="L353" s="13" t="s">
        <v>1647</v>
      </c>
      <c r="M353" s="13" t="s">
        <v>1631</v>
      </c>
      <c r="N353" s="13" t="s">
        <v>1640</v>
      </c>
      <c r="O353" s="13" t="s">
        <v>1647</v>
      </c>
      <c r="P353" s="13" t="s">
        <v>1631</v>
      </c>
      <c r="R353" s="13" t="s">
        <v>1647</v>
      </c>
      <c r="S353" s="13" t="s">
        <v>1631</v>
      </c>
      <c r="U353" s="13" t="s">
        <v>1647</v>
      </c>
      <c r="V353" s="13" t="s">
        <v>1631</v>
      </c>
      <c r="W353" s="13"/>
    </row>
    <row r="354" spans="1:23" ht="105" x14ac:dyDescent="0.25">
      <c r="A354" s="13" t="s">
        <v>636</v>
      </c>
      <c r="B354" s="10" t="s">
        <v>1512</v>
      </c>
      <c r="C354" s="10" t="s">
        <v>1181</v>
      </c>
      <c r="D354" s="10" t="s">
        <v>57</v>
      </c>
      <c r="E354" s="13" t="s">
        <v>819</v>
      </c>
      <c r="F354" s="13" t="s">
        <v>1133</v>
      </c>
      <c r="G354" s="13" t="s">
        <v>1199</v>
      </c>
      <c r="H354" s="11" t="s">
        <v>65</v>
      </c>
      <c r="I354" s="10" t="s">
        <v>1187</v>
      </c>
      <c r="J354" s="10" t="s">
        <v>1618</v>
      </c>
      <c r="L354" s="13" t="s">
        <v>1647</v>
      </c>
      <c r="M354" s="13" t="s">
        <v>1631</v>
      </c>
      <c r="N354" s="13" t="s">
        <v>1640</v>
      </c>
      <c r="O354" s="13" t="s">
        <v>1647</v>
      </c>
      <c r="P354" s="13" t="s">
        <v>1631</v>
      </c>
      <c r="R354" s="13" t="s">
        <v>1647</v>
      </c>
      <c r="S354" s="13" t="s">
        <v>1631</v>
      </c>
      <c r="U354" s="13" t="s">
        <v>1647</v>
      </c>
      <c r="V354" s="13" t="s">
        <v>1631</v>
      </c>
      <c r="W354" s="13"/>
    </row>
    <row r="355" spans="1:23" ht="105" x14ac:dyDescent="0.25">
      <c r="A355" s="13" t="s">
        <v>637</v>
      </c>
      <c r="B355" s="10" t="s">
        <v>1513</v>
      </c>
      <c r="C355" s="10" t="s">
        <v>1182</v>
      </c>
      <c r="D355" s="10" t="s">
        <v>57</v>
      </c>
      <c r="E355" s="13" t="s">
        <v>819</v>
      </c>
      <c r="F355" s="13" t="s">
        <v>1134</v>
      </c>
      <c r="G355" s="13" t="s">
        <v>1201</v>
      </c>
      <c r="H355" s="11" t="s">
        <v>65</v>
      </c>
      <c r="I355" s="10" t="s">
        <v>1187</v>
      </c>
      <c r="J355" s="10" t="s">
        <v>1202</v>
      </c>
      <c r="L355" s="13" t="s">
        <v>1647</v>
      </c>
      <c r="M355" s="13" t="s">
        <v>1631</v>
      </c>
      <c r="N355" s="13" t="s">
        <v>1640</v>
      </c>
      <c r="O355" s="13" t="s">
        <v>1647</v>
      </c>
      <c r="P355" s="13" t="s">
        <v>1631</v>
      </c>
      <c r="R355" s="13" t="s">
        <v>1647</v>
      </c>
      <c r="S355" s="13" t="s">
        <v>1631</v>
      </c>
      <c r="U355" s="13" t="s">
        <v>1647</v>
      </c>
      <c r="V355" s="13" t="s">
        <v>1631</v>
      </c>
      <c r="W355" s="13"/>
    </row>
    <row r="356" spans="1:23" ht="105" x14ac:dyDescent="0.25">
      <c r="A356" s="13" t="s">
        <v>638</v>
      </c>
      <c r="B356" s="10" t="s">
        <v>1514</v>
      </c>
      <c r="C356" s="10" t="s">
        <v>1182</v>
      </c>
      <c r="D356" s="10" t="s">
        <v>57</v>
      </c>
      <c r="E356" s="13" t="s">
        <v>819</v>
      </c>
      <c r="F356" s="13" t="s">
        <v>1135</v>
      </c>
      <c r="G356" s="13" t="s">
        <v>1204</v>
      </c>
      <c r="H356" s="11" t="s">
        <v>65</v>
      </c>
      <c r="I356" s="10" t="s">
        <v>1187</v>
      </c>
      <c r="J356" s="10" t="s">
        <v>56</v>
      </c>
      <c r="L356" s="13" t="s">
        <v>1647</v>
      </c>
      <c r="M356" s="13" t="s">
        <v>1631</v>
      </c>
      <c r="N356" s="13" t="s">
        <v>1640</v>
      </c>
      <c r="O356" s="13" t="s">
        <v>1647</v>
      </c>
      <c r="P356" s="13" t="s">
        <v>1631</v>
      </c>
      <c r="R356" s="13" t="s">
        <v>1647</v>
      </c>
      <c r="S356" s="13" t="s">
        <v>1631</v>
      </c>
      <c r="U356" s="13" t="s">
        <v>1647</v>
      </c>
      <c r="V356" s="13" t="s">
        <v>1631</v>
      </c>
      <c r="W356" s="13"/>
    </row>
    <row r="357" spans="1:23" ht="105" x14ac:dyDescent="0.25">
      <c r="A357" s="13" t="s">
        <v>639</v>
      </c>
      <c r="B357" s="10" t="s">
        <v>1515</v>
      </c>
      <c r="C357" s="10" t="s">
        <v>1182</v>
      </c>
      <c r="D357" s="10" t="s">
        <v>57</v>
      </c>
      <c r="E357" s="13" t="s">
        <v>819</v>
      </c>
      <c r="F357" s="13" t="s">
        <v>1136</v>
      </c>
      <c r="G357" s="13" t="s">
        <v>1206</v>
      </c>
      <c r="H357" s="11" t="s">
        <v>65</v>
      </c>
      <c r="I357" s="10" t="s">
        <v>1187</v>
      </c>
      <c r="J357" s="10" t="s">
        <v>1207</v>
      </c>
      <c r="L357" s="13" t="s">
        <v>1647</v>
      </c>
      <c r="M357" s="13" t="s">
        <v>1631</v>
      </c>
      <c r="N357" s="13" t="s">
        <v>1640</v>
      </c>
      <c r="O357" s="13" t="s">
        <v>1647</v>
      </c>
      <c r="P357" s="13" t="s">
        <v>1631</v>
      </c>
      <c r="R357" s="13" t="s">
        <v>1647</v>
      </c>
      <c r="S357" s="13" t="s">
        <v>1631</v>
      </c>
      <c r="U357" s="13" t="s">
        <v>1647</v>
      </c>
      <c r="V357" s="13" t="s">
        <v>1631</v>
      </c>
      <c r="W357" s="13"/>
    </row>
    <row r="358" spans="1:23" ht="105" x14ac:dyDescent="0.25">
      <c r="A358" s="13" t="s">
        <v>640</v>
      </c>
      <c r="B358" s="10" t="s">
        <v>1516</v>
      </c>
      <c r="C358" s="10" t="s">
        <v>1182</v>
      </c>
      <c r="D358" s="10" t="s">
        <v>57</v>
      </c>
      <c r="E358" s="13" t="s">
        <v>819</v>
      </c>
      <c r="F358" s="13" t="s">
        <v>1137</v>
      </c>
      <c r="G358" s="13" t="s">
        <v>1209</v>
      </c>
      <c r="H358" s="11" t="s">
        <v>65</v>
      </c>
      <c r="I358" s="10" t="s">
        <v>1187</v>
      </c>
      <c r="J358" s="10" t="s">
        <v>56</v>
      </c>
      <c r="L358" s="13" t="s">
        <v>1647</v>
      </c>
      <c r="M358" s="13" t="s">
        <v>1631</v>
      </c>
      <c r="N358" s="13" t="s">
        <v>1640</v>
      </c>
      <c r="O358" s="13" t="s">
        <v>1647</v>
      </c>
      <c r="P358" s="13" t="s">
        <v>1631</v>
      </c>
      <c r="R358" s="13" t="s">
        <v>1647</v>
      </c>
      <c r="S358" s="13" t="s">
        <v>1631</v>
      </c>
      <c r="U358" s="13" t="s">
        <v>1647</v>
      </c>
      <c r="V358" s="13" t="s">
        <v>1631</v>
      </c>
      <c r="W358" s="13"/>
    </row>
    <row r="359" spans="1:23" ht="105" x14ac:dyDescent="0.25">
      <c r="A359" s="13" t="s">
        <v>641</v>
      </c>
      <c r="B359" s="10" t="s">
        <v>1517</v>
      </c>
      <c r="C359" s="10" t="s">
        <v>1182</v>
      </c>
      <c r="D359" s="10" t="s">
        <v>57</v>
      </c>
      <c r="E359" s="13" t="s">
        <v>819</v>
      </c>
      <c r="F359" s="13" t="s">
        <v>1138</v>
      </c>
      <c r="G359" s="13" t="s">
        <v>1211</v>
      </c>
      <c r="H359" s="11" t="s">
        <v>65</v>
      </c>
      <c r="I359" s="10" t="s">
        <v>1187</v>
      </c>
      <c r="J359" s="10" t="s">
        <v>1212</v>
      </c>
      <c r="L359" s="13" t="s">
        <v>1647</v>
      </c>
      <c r="M359" s="13" t="s">
        <v>1631</v>
      </c>
      <c r="N359" s="13" t="s">
        <v>1640</v>
      </c>
      <c r="O359" s="13" t="s">
        <v>1647</v>
      </c>
      <c r="P359" s="13" t="s">
        <v>1631</v>
      </c>
      <c r="R359" s="13" t="s">
        <v>1647</v>
      </c>
      <c r="S359" s="13" t="s">
        <v>1631</v>
      </c>
      <c r="U359" s="13" t="s">
        <v>1647</v>
      </c>
      <c r="V359" s="13" t="s">
        <v>1631</v>
      </c>
      <c r="W359" s="13"/>
    </row>
    <row r="360" spans="1:23" ht="180" x14ac:dyDescent="0.25">
      <c r="A360" s="13" t="s">
        <v>642</v>
      </c>
      <c r="B360" s="10" t="s">
        <v>1518</v>
      </c>
      <c r="C360" s="10" t="s">
        <v>1182</v>
      </c>
      <c r="D360" s="10" t="s">
        <v>57</v>
      </c>
      <c r="E360" s="13" t="s">
        <v>819</v>
      </c>
      <c r="F360" s="13" t="s">
        <v>1214</v>
      </c>
      <c r="G360" s="13" t="s">
        <v>834</v>
      </c>
      <c r="H360" s="11" t="s">
        <v>65</v>
      </c>
      <c r="I360" s="10" t="s">
        <v>1190</v>
      </c>
      <c r="J360" s="10" t="s">
        <v>56</v>
      </c>
      <c r="L360" s="13" t="s">
        <v>1647</v>
      </c>
      <c r="M360" s="13" t="s">
        <v>1631</v>
      </c>
      <c r="N360" s="13" t="s">
        <v>1640</v>
      </c>
      <c r="O360" s="13" t="s">
        <v>1647</v>
      </c>
      <c r="P360" s="13" t="s">
        <v>1631</v>
      </c>
      <c r="R360" s="13" t="s">
        <v>1647</v>
      </c>
      <c r="S360" s="13" t="s">
        <v>1631</v>
      </c>
      <c r="U360" s="13" t="s">
        <v>1647</v>
      </c>
      <c r="V360" s="13" t="s">
        <v>1631</v>
      </c>
      <c r="W360" s="13"/>
    </row>
    <row r="361" spans="1:23" ht="180" x14ac:dyDescent="0.25">
      <c r="A361" s="13" t="s">
        <v>643</v>
      </c>
      <c r="B361" s="10" t="s">
        <v>1519</v>
      </c>
      <c r="C361" s="10" t="s">
        <v>1182</v>
      </c>
      <c r="D361" s="10" t="s">
        <v>57</v>
      </c>
      <c r="E361" s="13" t="s">
        <v>819</v>
      </c>
      <c r="F361" s="13" t="s">
        <v>1216</v>
      </c>
      <c r="G361" s="13" t="s">
        <v>835</v>
      </c>
      <c r="H361" s="11" t="s">
        <v>65</v>
      </c>
      <c r="I361" s="10" t="s">
        <v>56</v>
      </c>
      <c r="J361" s="10" t="s">
        <v>1217</v>
      </c>
      <c r="L361" s="13" t="s">
        <v>1647</v>
      </c>
      <c r="M361" s="13" t="s">
        <v>1631</v>
      </c>
      <c r="N361" s="13" t="s">
        <v>1640</v>
      </c>
      <c r="O361" s="13" t="s">
        <v>1647</v>
      </c>
      <c r="P361" s="13" t="s">
        <v>1631</v>
      </c>
      <c r="R361" s="13" t="s">
        <v>1647</v>
      </c>
      <c r="S361" s="13" t="s">
        <v>1631</v>
      </c>
      <c r="U361" s="13" t="s">
        <v>1647</v>
      </c>
      <c r="V361" s="13" t="s">
        <v>1631</v>
      </c>
      <c r="W361" s="13"/>
    </row>
    <row r="362" spans="1:23" ht="180" x14ac:dyDescent="0.25">
      <c r="A362" s="13" t="s">
        <v>644</v>
      </c>
      <c r="B362" s="10" t="s">
        <v>1520</v>
      </c>
      <c r="C362" s="10" t="s">
        <v>1182</v>
      </c>
      <c r="D362" s="10" t="s">
        <v>57</v>
      </c>
      <c r="E362" s="13" t="s">
        <v>819</v>
      </c>
      <c r="F362" s="13" t="s">
        <v>1219</v>
      </c>
      <c r="G362" s="13" t="s">
        <v>835</v>
      </c>
      <c r="H362" s="11" t="s">
        <v>65</v>
      </c>
      <c r="I362" s="10" t="s">
        <v>56</v>
      </c>
      <c r="J362" s="10" t="s">
        <v>1220</v>
      </c>
      <c r="L362" s="13" t="s">
        <v>1647</v>
      </c>
      <c r="M362" s="13" t="s">
        <v>1631</v>
      </c>
      <c r="N362" s="13" t="s">
        <v>1640</v>
      </c>
      <c r="O362" s="13" t="s">
        <v>1647</v>
      </c>
      <c r="P362" s="13" t="s">
        <v>1631</v>
      </c>
      <c r="R362" s="13" t="s">
        <v>1647</v>
      </c>
      <c r="S362" s="13" t="s">
        <v>1631</v>
      </c>
      <c r="U362" s="13" t="s">
        <v>1647</v>
      </c>
      <c r="V362" s="13" t="s">
        <v>1631</v>
      </c>
      <c r="W362" s="13"/>
    </row>
    <row r="363" spans="1:23" ht="180" x14ac:dyDescent="0.25">
      <c r="A363" s="13" t="s">
        <v>645</v>
      </c>
      <c r="B363" s="10" t="s">
        <v>1521</v>
      </c>
      <c r="C363" s="10" t="s">
        <v>1182</v>
      </c>
      <c r="D363" s="10" t="s">
        <v>57</v>
      </c>
      <c r="E363" s="13" t="s">
        <v>819</v>
      </c>
      <c r="F363" s="13" t="s">
        <v>1222</v>
      </c>
      <c r="G363" s="13" t="s">
        <v>835</v>
      </c>
      <c r="H363" s="11" t="s">
        <v>65</v>
      </c>
      <c r="I363" s="10" t="s">
        <v>56</v>
      </c>
      <c r="J363" s="10" t="s">
        <v>1223</v>
      </c>
      <c r="L363" s="13" t="s">
        <v>1647</v>
      </c>
      <c r="M363" s="13" t="s">
        <v>1631</v>
      </c>
      <c r="N363" s="13" t="s">
        <v>1640</v>
      </c>
      <c r="O363" s="13" t="s">
        <v>1647</v>
      </c>
      <c r="P363" s="13" t="s">
        <v>1631</v>
      </c>
      <c r="R363" s="13" t="s">
        <v>1647</v>
      </c>
      <c r="S363" s="13" t="s">
        <v>1631</v>
      </c>
      <c r="U363" s="13" t="s">
        <v>1647</v>
      </c>
      <c r="V363" s="13" t="s">
        <v>1631</v>
      </c>
      <c r="W363" s="13"/>
    </row>
    <row r="364" spans="1:23" ht="180" x14ac:dyDescent="0.25">
      <c r="A364" s="13" t="s">
        <v>646</v>
      </c>
      <c r="B364" s="10" t="s">
        <v>1522</v>
      </c>
      <c r="C364" s="10" t="s">
        <v>1182</v>
      </c>
      <c r="D364" s="10" t="s">
        <v>57</v>
      </c>
      <c r="E364" s="13" t="s">
        <v>819</v>
      </c>
      <c r="F364" s="13" t="s">
        <v>1225</v>
      </c>
      <c r="G364" s="13" t="s">
        <v>835</v>
      </c>
      <c r="H364" s="11" t="s">
        <v>65</v>
      </c>
      <c r="I364" s="10" t="s">
        <v>56</v>
      </c>
      <c r="J364" s="10" t="s">
        <v>1226</v>
      </c>
      <c r="L364" s="13" t="s">
        <v>1647</v>
      </c>
      <c r="M364" s="13" t="s">
        <v>1631</v>
      </c>
      <c r="N364" s="13" t="s">
        <v>1640</v>
      </c>
      <c r="O364" s="13" t="s">
        <v>1647</v>
      </c>
      <c r="P364" s="13" t="s">
        <v>1631</v>
      </c>
      <c r="R364" s="13" t="s">
        <v>1647</v>
      </c>
      <c r="S364" s="13" t="s">
        <v>1631</v>
      </c>
      <c r="U364" s="13" t="s">
        <v>1647</v>
      </c>
      <c r="V364" s="13" t="s">
        <v>1631</v>
      </c>
      <c r="W364" s="13"/>
    </row>
    <row r="365" spans="1:23" ht="180" x14ac:dyDescent="0.25">
      <c r="A365" s="13" t="s">
        <v>647</v>
      </c>
      <c r="B365" s="10" t="s">
        <v>1523</v>
      </c>
      <c r="C365" s="10" t="s">
        <v>1182</v>
      </c>
      <c r="D365" s="10" t="s">
        <v>57</v>
      </c>
      <c r="E365" s="13" t="s">
        <v>819</v>
      </c>
      <c r="F365" s="13" t="s">
        <v>1228</v>
      </c>
      <c r="G365" s="13" t="s">
        <v>835</v>
      </c>
      <c r="H365" s="11" t="s">
        <v>65</v>
      </c>
      <c r="I365" s="10" t="s">
        <v>56</v>
      </c>
      <c r="J365" s="10" t="s">
        <v>1229</v>
      </c>
      <c r="L365" s="13" t="s">
        <v>1647</v>
      </c>
      <c r="M365" s="13" t="s">
        <v>1631</v>
      </c>
      <c r="N365" s="13" t="s">
        <v>1640</v>
      </c>
      <c r="O365" s="13" t="s">
        <v>1647</v>
      </c>
      <c r="P365" s="13" t="s">
        <v>1631</v>
      </c>
      <c r="R365" s="13" t="s">
        <v>1647</v>
      </c>
      <c r="S365" s="13" t="s">
        <v>1631</v>
      </c>
      <c r="U365" s="13" t="s">
        <v>1647</v>
      </c>
      <c r="V365" s="13" t="s">
        <v>1631</v>
      </c>
      <c r="W365" s="13"/>
    </row>
    <row r="366" spans="1:23" ht="180" x14ac:dyDescent="0.25">
      <c r="A366" s="13" t="s">
        <v>648</v>
      </c>
      <c r="B366" s="10" t="s">
        <v>1524</v>
      </c>
      <c r="C366" s="10" t="s">
        <v>1182</v>
      </c>
      <c r="D366" s="10" t="s">
        <v>57</v>
      </c>
      <c r="E366" s="13" t="s">
        <v>819</v>
      </c>
      <c r="F366" s="13" t="s">
        <v>1231</v>
      </c>
      <c r="G366" s="13" t="s">
        <v>835</v>
      </c>
      <c r="H366" s="11" t="s">
        <v>65</v>
      </c>
      <c r="I366" s="10" t="s">
        <v>56</v>
      </c>
      <c r="J366" s="10" t="s">
        <v>1232</v>
      </c>
      <c r="L366" s="13" t="s">
        <v>1647</v>
      </c>
      <c r="M366" s="13" t="s">
        <v>1631</v>
      </c>
      <c r="N366" s="13" t="s">
        <v>1640</v>
      </c>
      <c r="O366" s="13" t="s">
        <v>1647</v>
      </c>
      <c r="P366" s="13" t="s">
        <v>1631</v>
      </c>
      <c r="R366" s="13" t="s">
        <v>1647</v>
      </c>
      <c r="S366" s="13" t="s">
        <v>1631</v>
      </c>
      <c r="U366" s="13" t="s">
        <v>1647</v>
      </c>
      <c r="V366" s="13" t="s">
        <v>1631</v>
      </c>
      <c r="W366" s="13"/>
    </row>
    <row r="367" spans="1:23" ht="150" x14ac:dyDescent="0.25">
      <c r="A367" s="13" t="s">
        <v>649</v>
      </c>
      <c r="B367" s="10" t="s">
        <v>1525</v>
      </c>
      <c r="C367" s="10" t="s">
        <v>1182</v>
      </c>
      <c r="D367" s="10" t="s">
        <v>57</v>
      </c>
      <c r="E367" s="13" t="s">
        <v>819</v>
      </c>
      <c r="F367" s="13" t="s">
        <v>1234</v>
      </c>
      <c r="G367" s="13" t="s">
        <v>835</v>
      </c>
      <c r="H367" s="11" t="s">
        <v>65</v>
      </c>
      <c r="I367" s="10" t="s">
        <v>1190</v>
      </c>
      <c r="J367" s="10" t="s">
        <v>56</v>
      </c>
      <c r="L367" s="13" t="s">
        <v>1647</v>
      </c>
      <c r="M367" s="13" t="s">
        <v>1631</v>
      </c>
      <c r="N367" s="13" t="s">
        <v>1640</v>
      </c>
      <c r="O367" s="13" t="s">
        <v>1647</v>
      </c>
      <c r="P367" s="13" t="s">
        <v>1631</v>
      </c>
      <c r="R367" s="13" t="s">
        <v>1647</v>
      </c>
      <c r="S367" s="13" t="s">
        <v>1631</v>
      </c>
      <c r="U367" s="13" t="s">
        <v>1647</v>
      </c>
      <c r="V367" s="13" t="s">
        <v>1631</v>
      </c>
      <c r="W367" s="13"/>
    </row>
    <row r="368" spans="1:23" ht="150" x14ac:dyDescent="0.25">
      <c r="A368" s="13" t="s">
        <v>650</v>
      </c>
      <c r="B368" s="10" t="s">
        <v>1526</v>
      </c>
      <c r="C368" s="10" t="s">
        <v>1182</v>
      </c>
      <c r="D368" s="10" t="s">
        <v>57</v>
      </c>
      <c r="E368" s="13" t="s">
        <v>819</v>
      </c>
      <c r="F368" s="13" t="s">
        <v>1236</v>
      </c>
      <c r="G368" s="13" t="s">
        <v>835</v>
      </c>
      <c r="H368" s="11" t="s">
        <v>65</v>
      </c>
      <c r="I368" s="10" t="s">
        <v>1190</v>
      </c>
      <c r="J368" s="10" t="s">
        <v>56</v>
      </c>
      <c r="L368" s="13" t="s">
        <v>1647</v>
      </c>
      <c r="M368" s="13" t="s">
        <v>1631</v>
      </c>
      <c r="N368" s="13" t="s">
        <v>1640</v>
      </c>
      <c r="O368" s="13" t="s">
        <v>1647</v>
      </c>
      <c r="P368" s="13" t="s">
        <v>1631</v>
      </c>
      <c r="R368" s="13" t="s">
        <v>1647</v>
      </c>
      <c r="S368" s="13" t="s">
        <v>1631</v>
      </c>
      <c r="U368" s="13" t="s">
        <v>1647</v>
      </c>
      <c r="V368" s="13" t="s">
        <v>1631</v>
      </c>
      <c r="W368" s="13"/>
    </row>
    <row r="369" spans="1:23" ht="150" x14ac:dyDescent="0.25">
      <c r="A369" s="13" t="s">
        <v>651</v>
      </c>
      <c r="B369" s="10" t="s">
        <v>1527</v>
      </c>
      <c r="C369" s="10" t="s">
        <v>1182</v>
      </c>
      <c r="D369" s="10" t="s">
        <v>57</v>
      </c>
      <c r="E369" s="13" t="s">
        <v>819</v>
      </c>
      <c r="F369" s="13" t="s">
        <v>1238</v>
      </c>
      <c r="G369" s="13" t="s">
        <v>835</v>
      </c>
      <c r="H369" s="11" t="s">
        <v>65</v>
      </c>
      <c r="I369" s="10" t="s">
        <v>1190</v>
      </c>
      <c r="J369" s="10" t="s">
        <v>56</v>
      </c>
      <c r="L369" s="13" t="s">
        <v>1647</v>
      </c>
      <c r="M369" s="13" t="s">
        <v>1631</v>
      </c>
      <c r="N369" s="13" t="s">
        <v>1640</v>
      </c>
      <c r="O369" s="13" t="s">
        <v>1647</v>
      </c>
      <c r="P369" s="13" t="s">
        <v>1631</v>
      </c>
      <c r="R369" s="13" t="s">
        <v>1647</v>
      </c>
      <c r="S369" s="13" t="s">
        <v>1631</v>
      </c>
      <c r="U369" s="13" t="s">
        <v>1647</v>
      </c>
      <c r="V369" s="13" t="s">
        <v>1631</v>
      </c>
      <c r="W369" s="13"/>
    </row>
    <row r="370" spans="1:23" ht="120" x14ac:dyDescent="0.25">
      <c r="A370" s="13" t="s">
        <v>652</v>
      </c>
      <c r="B370" s="10" t="s">
        <v>1528</v>
      </c>
      <c r="C370" s="10" t="s">
        <v>1182</v>
      </c>
      <c r="D370" s="10" t="s">
        <v>57</v>
      </c>
      <c r="E370" s="13" t="s">
        <v>819</v>
      </c>
      <c r="F370" s="13" t="s">
        <v>1240</v>
      </c>
      <c r="G370" s="13" t="s">
        <v>836</v>
      </c>
      <c r="H370" s="11" t="s">
        <v>65</v>
      </c>
      <c r="I370" s="10" t="s">
        <v>1190</v>
      </c>
      <c r="J370" s="10" t="s">
        <v>56</v>
      </c>
      <c r="L370" s="13" t="s">
        <v>1647</v>
      </c>
      <c r="M370" s="13" t="s">
        <v>1631</v>
      </c>
      <c r="N370" s="13" t="s">
        <v>1640</v>
      </c>
      <c r="O370" s="13" t="s">
        <v>1647</v>
      </c>
      <c r="P370" s="13" t="s">
        <v>1631</v>
      </c>
      <c r="R370" s="13" t="s">
        <v>1647</v>
      </c>
      <c r="S370" s="13" t="s">
        <v>1631</v>
      </c>
      <c r="U370" s="13" t="s">
        <v>1647</v>
      </c>
      <c r="V370" s="13" t="s">
        <v>1631</v>
      </c>
      <c r="W370" s="13"/>
    </row>
    <row r="371" spans="1:23" ht="90" x14ac:dyDescent="0.25">
      <c r="A371" s="13" t="s">
        <v>653</v>
      </c>
      <c r="B371" s="10" t="s">
        <v>1064</v>
      </c>
      <c r="C371" s="10" t="s">
        <v>1182</v>
      </c>
      <c r="D371" s="10" t="s">
        <v>57</v>
      </c>
      <c r="E371" s="13" t="s">
        <v>819</v>
      </c>
      <c r="F371" s="13" t="s">
        <v>847</v>
      </c>
      <c r="G371" s="13" t="s">
        <v>898</v>
      </c>
      <c r="H371" s="11" t="s">
        <v>65</v>
      </c>
      <c r="I371" s="10" t="s">
        <v>1187</v>
      </c>
      <c r="J371" s="10" t="s">
        <v>1619</v>
      </c>
      <c r="L371" s="13" t="s">
        <v>1647</v>
      </c>
      <c r="M371" s="13" t="s">
        <v>1631</v>
      </c>
      <c r="N371" s="13" t="s">
        <v>1640</v>
      </c>
      <c r="O371" s="13" t="s">
        <v>1647</v>
      </c>
      <c r="P371" s="13" t="s">
        <v>1631</v>
      </c>
      <c r="R371" s="13" t="s">
        <v>1647</v>
      </c>
      <c r="S371" s="13" t="s">
        <v>1631</v>
      </c>
      <c r="U371" s="13" t="s">
        <v>1647</v>
      </c>
      <c r="V371" s="13" t="s">
        <v>1631</v>
      </c>
      <c r="W371" s="13"/>
    </row>
    <row r="372" spans="1:23" ht="75" x14ac:dyDescent="0.25">
      <c r="A372" s="13" t="s">
        <v>654</v>
      </c>
      <c r="B372" s="10" t="s">
        <v>1065</v>
      </c>
      <c r="C372" s="10" t="s">
        <v>1182</v>
      </c>
      <c r="D372" s="10" t="s">
        <v>57</v>
      </c>
      <c r="E372" s="13" t="s">
        <v>819</v>
      </c>
      <c r="F372" s="13" t="s">
        <v>847</v>
      </c>
      <c r="G372" s="13" t="s">
        <v>866</v>
      </c>
      <c r="H372" s="11" t="s">
        <v>65</v>
      </c>
      <c r="I372" s="10" t="s">
        <v>1190</v>
      </c>
      <c r="J372" s="10" t="s">
        <v>56</v>
      </c>
      <c r="L372" s="13" t="s">
        <v>1647</v>
      </c>
      <c r="M372" s="13" t="s">
        <v>1631</v>
      </c>
      <c r="N372" s="13" t="s">
        <v>1640</v>
      </c>
      <c r="O372" s="13" t="s">
        <v>1647</v>
      </c>
      <c r="P372" s="13" t="s">
        <v>1631</v>
      </c>
      <c r="R372" s="13" t="s">
        <v>1647</v>
      </c>
      <c r="S372" s="13" t="s">
        <v>1631</v>
      </c>
      <c r="U372" s="13" t="s">
        <v>1647</v>
      </c>
      <c r="V372" s="13" t="s">
        <v>1631</v>
      </c>
      <c r="W372" s="13"/>
    </row>
    <row r="373" spans="1:23" ht="409.5" x14ac:dyDescent="0.25">
      <c r="A373" s="13" t="s">
        <v>655</v>
      </c>
      <c r="B373" s="10" t="s">
        <v>1066</v>
      </c>
      <c r="C373" s="10" t="s">
        <v>1182</v>
      </c>
      <c r="D373" s="10" t="s">
        <v>57</v>
      </c>
      <c r="E373" s="13" t="s">
        <v>856</v>
      </c>
      <c r="F373" s="13" t="s">
        <v>870</v>
      </c>
      <c r="G373" s="13" t="s">
        <v>900</v>
      </c>
      <c r="H373" s="11" t="s">
        <v>65</v>
      </c>
      <c r="I373" s="10" t="s">
        <v>1188</v>
      </c>
      <c r="J373" s="10" t="s">
        <v>871</v>
      </c>
      <c r="L373" s="13" t="s">
        <v>1647</v>
      </c>
      <c r="M373" s="13" t="s">
        <v>1631</v>
      </c>
      <c r="N373" s="13" t="s">
        <v>1640</v>
      </c>
      <c r="O373" s="13" t="s">
        <v>1647</v>
      </c>
      <c r="P373" s="13" t="s">
        <v>1631</v>
      </c>
      <c r="R373" s="13" t="s">
        <v>1647</v>
      </c>
      <c r="S373" s="13" t="s">
        <v>1631</v>
      </c>
      <c r="U373" s="13" t="s">
        <v>1647</v>
      </c>
      <c r="V373" s="13" t="s">
        <v>1631</v>
      </c>
      <c r="W373" s="13"/>
    </row>
    <row r="374" spans="1:23" ht="210" x14ac:dyDescent="0.25">
      <c r="A374" s="13" t="s">
        <v>656</v>
      </c>
      <c r="B374" s="10" t="s">
        <v>1067</v>
      </c>
      <c r="C374" s="10" t="s">
        <v>1182</v>
      </c>
      <c r="D374" s="10" t="s">
        <v>57</v>
      </c>
      <c r="E374" s="13" t="s">
        <v>819</v>
      </c>
      <c r="F374" s="13" t="s">
        <v>872</v>
      </c>
      <c r="G374" s="13" t="s">
        <v>922</v>
      </c>
      <c r="H374" s="11" t="s">
        <v>65</v>
      </c>
      <c r="I374" s="10" t="s">
        <v>56</v>
      </c>
      <c r="J374" s="10" t="s">
        <v>1183</v>
      </c>
      <c r="L374" s="13" t="s">
        <v>1647</v>
      </c>
      <c r="M374" s="13" t="s">
        <v>1631</v>
      </c>
      <c r="N374" s="13" t="s">
        <v>1640</v>
      </c>
      <c r="O374" s="13" t="s">
        <v>1647</v>
      </c>
      <c r="P374" s="13" t="s">
        <v>1631</v>
      </c>
      <c r="R374" s="13" t="s">
        <v>1647</v>
      </c>
      <c r="S374" s="13" t="s">
        <v>1631</v>
      </c>
      <c r="U374" s="13" t="s">
        <v>1647</v>
      </c>
      <c r="V374" s="13" t="s">
        <v>1631</v>
      </c>
      <c r="W374" s="13"/>
    </row>
    <row r="375" spans="1:23" ht="180" x14ac:dyDescent="0.25">
      <c r="A375" s="13" t="s">
        <v>657</v>
      </c>
      <c r="B375" s="10" t="s">
        <v>1068</v>
      </c>
      <c r="C375" s="10" t="s">
        <v>1182</v>
      </c>
      <c r="D375" s="10" t="s">
        <v>57</v>
      </c>
      <c r="E375" s="13" t="s">
        <v>819</v>
      </c>
      <c r="F375" s="13" t="s">
        <v>870</v>
      </c>
      <c r="G375" s="13" t="s">
        <v>922</v>
      </c>
      <c r="H375" s="11" t="s">
        <v>65</v>
      </c>
      <c r="I375" s="10" t="s">
        <v>56</v>
      </c>
      <c r="J375" s="10" t="s">
        <v>1184</v>
      </c>
      <c r="L375" s="13" t="s">
        <v>1647</v>
      </c>
      <c r="M375" s="13" t="s">
        <v>1631</v>
      </c>
      <c r="N375" s="13" t="s">
        <v>1640</v>
      </c>
      <c r="O375" s="13" t="s">
        <v>1647</v>
      </c>
      <c r="P375" s="13" t="s">
        <v>1631</v>
      </c>
      <c r="R375" s="13" t="s">
        <v>1647</v>
      </c>
      <c r="S375" s="13" t="s">
        <v>1631</v>
      </c>
      <c r="U375" s="13" t="s">
        <v>1647</v>
      </c>
      <c r="V375" s="13" t="s">
        <v>1631</v>
      </c>
      <c r="W375" s="13"/>
    </row>
    <row r="376" spans="1:23" ht="165" x14ac:dyDescent="0.25">
      <c r="A376" s="13" t="s">
        <v>658</v>
      </c>
      <c r="B376" s="10" t="s">
        <v>1069</v>
      </c>
      <c r="C376" s="10" t="s">
        <v>1182</v>
      </c>
      <c r="D376" s="10" t="s">
        <v>57</v>
      </c>
      <c r="E376" s="13" t="s">
        <v>819</v>
      </c>
      <c r="F376" s="13" t="s">
        <v>873</v>
      </c>
      <c r="G376" s="13" t="s">
        <v>922</v>
      </c>
      <c r="H376" s="11" t="s">
        <v>65</v>
      </c>
      <c r="I376" s="10" t="s">
        <v>1187</v>
      </c>
      <c r="J376" s="10" t="s">
        <v>56</v>
      </c>
      <c r="L376" s="13" t="s">
        <v>1647</v>
      </c>
      <c r="M376" s="13" t="s">
        <v>1631</v>
      </c>
      <c r="N376" s="13" t="s">
        <v>1640</v>
      </c>
      <c r="O376" s="13" t="s">
        <v>1647</v>
      </c>
      <c r="P376" s="13" t="s">
        <v>1631</v>
      </c>
      <c r="R376" s="13" t="s">
        <v>1647</v>
      </c>
      <c r="S376" s="13" t="s">
        <v>1631</v>
      </c>
      <c r="U376" s="13" t="s">
        <v>1647</v>
      </c>
      <c r="V376" s="13" t="s">
        <v>1631</v>
      </c>
      <c r="W376" s="13"/>
    </row>
    <row r="377" spans="1:23" ht="165" x14ac:dyDescent="0.25">
      <c r="A377" s="13" t="s">
        <v>659</v>
      </c>
      <c r="B377" s="10" t="s">
        <v>1070</v>
      </c>
      <c r="C377" s="10" t="s">
        <v>1182</v>
      </c>
      <c r="D377" s="10" t="s">
        <v>57</v>
      </c>
      <c r="E377" s="13" t="s">
        <v>819</v>
      </c>
      <c r="F377" s="13" t="s">
        <v>874</v>
      </c>
      <c r="G377" s="13" t="s">
        <v>922</v>
      </c>
      <c r="H377" s="11" t="s">
        <v>65</v>
      </c>
      <c r="I377" s="10" t="s">
        <v>1187</v>
      </c>
      <c r="J377" s="10" t="s">
        <v>56</v>
      </c>
      <c r="L377" s="13" t="s">
        <v>1647</v>
      </c>
      <c r="M377" s="13" t="s">
        <v>1631</v>
      </c>
      <c r="N377" s="13" t="s">
        <v>1640</v>
      </c>
      <c r="O377" s="13" t="s">
        <v>1647</v>
      </c>
      <c r="P377" s="13" t="s">
        <v>1631</v>
      </c>
      <c r="R377" s="13" t="s">
        <v>1647</v>
      </c>
      <c r="S377" s="13" t="s">
        <v>1631</v>
      </c>
      <c r="U377" s="13" t="s">
        <v>1647</v>
      </c>
      <c r="V377" s="13" t="s">
        <v>1631</v>
      </c>
      <c r="W377" s="13"/>
    </row>
    <row r="378" spans="1:23" ht="135" x14ac:dyDescent="0.25">
      <c r="A378" s="13" t="s">
        <v>660</v>
      </c>
      <c r="B378" s="10" t="s">
        <v>1071</v>
      </c>
      <c r="C378" s="10" t="s">
        <v>1182</v>
      </c>
      <c r="D378" s="10" t="s">
        <v>57</v>
      </c>
      <c r="E378" s="13" t="s">
        <v>819</v>
      </c>
      <c r="F378" s="13" t="s">
        <v>875</v>
      </c>
      <c r="G378" s="13" t="s">
        <v>922</v>
      </c>
      <c r="H378" s="11" t="s">
        <v>65</v>
      </c>
      <c r="I378" s="10" t="s">
        <v>1187</v>
      </c>
      <c r="J378" s="10" t="s">
        <v>56</v>
      </c>
      <c r="L378" s="13" t="s">
        <v>1647</v>
      </c>
      <c r="M378" s="13" t="s">
        <v>1631</v>
      </c>
      <c r="N378" s="13" t="s">
        <v>1640</v>
      </c>
      <c r="O378" s="13" t="s">
        <v>1647</v>
      </c>
      <c r="P378" s="13" t="s">
        <v>1631</v>
      </c>
      <c r="R378" s="13" t="s">
        <v>1647</v>
      </c>
      <c r="S378" s="13" t="s">
        <v>1631</v>
      </c>
      <c r="U378" s="13" t="s">
        <v>1647</v>
      </c>
      <c r="V378" s="13" t="s">
        <v>1631</v>
      </c>
      <c r="W378" s="13"/>
    </row>
    <row r="379" spans="1:23" ht="135" x14ac:dyDescent="0.25">
      <c r="A379" s="13" t="s">
        <v>661</v>
      </c>
      <c r="B379" s="10" t="s">
        <v>1072</v>
      </c>
      <c r="C379" s="10" t="s">
        <v>1182</v>
      </c>
      <c r="D379" s="10" t="s">
        <v>57</v>
      </c>
      <c r="E379" s="13" t="s">
        <v>819</v>
      </c>
      <c r="F379" s="13" t="s">
        <v>876</v>
      </c>
      <c r="G379" s="13" t="s">
        <v>922</v>
      </c>
      <c r="H379" s="11" t="s">
        <v>65</v>
      </c>
      <c r="I379" s="10" t="s">
        <v>1187</v>
      </c>
      <c r="J379" s="10" t="s">
        <v>56</v>
      </c>
      <c r="L379" s="13" t="s">
        <v>1647</v>
      </c>
      <c r="M379" s="13" t="s">
        <v>1631</v>
      </c>
      <c r="N379" s="13" t="s">
        <v>1640</v>
      </c>
      <c r="O379" s="13" t="s">
        <v>1647</v>
      </c>
      <c r="P379" s="13" t="s">
        <v>1631</v>
      </c>
      <c r="R379" s="13" t="s">
        <v>1647</v>
      </c>
      <c r="S379" s="13" t="s">
        <v>1631</v>
      </c>
      <c r="U379" s="13" t="s">
        <v>1647</v>
      </c>
      <c r="V379" s="13" t="s">
        <v>1631</v>
      </c>
      <c r="W379" s="13"/>
    </row>
    <row r="380" spans="1:23" ht="105" x14ac:dyDescent="0.25">
      <c r="A380" s="13" t="s">
        <v>662</v>
      </c>
      <c r="B380" s="10" t="s">
        <v>1529</v>
      </c>
      <c r="C380" s="10" t="s">
        <v>1182</v>
      </c>
      <c r="D380" s="10" t="s">
        <v>57</v>
      </c>
      <c r="E380" s="13" t="s">
        <v>821</v>
      </c>
      <c r="F380" s="13" t="s">
        <v>1133</v>
      </c>
      <c r="G380" s="13" t="s">
        <v>1199</v>
      </c>
      <c r="H380" s="11" t="s">
        <v>65</v>
      </c>
      <c r="I380" s="10" t="s">
        <v>1187</v>
      </c>
      <c r="J380" s="10" t="s">
        <v>56</v>
      </c>
      <c r="L380" s="13" t="s">
        <v>1647</v>
      </c>
      <c r="M380" s="13" t="s">
        <v>1631</v>
      </c>
      <c r="N380" s="13" t="s">
        <v>1640</v>
      </c>
      <c r="O380" s="13" t="s">
        <v>1647</v>
      </c>
      <c r="P380" s="13" t="s">
        <v>1631</v>
      </c>
      <c r="R380" s="13" t="s">
        <v>1647</v>
      </c>
      <c r="S380" s="13" t="s">
        <v>1631</v>
      </c>
      <c r="U380" s="13" t="s">
        <v>1647</v>
      </c>
      <c r="V380" s="13" t="s">
        <v>1631</v>
      </c>
      <c r="W380" s="13"/>
    </row>
    <row r="381" spans="1:23" ht="105" x14ac:dyDescent="0.25">
      <c r="A381" s="13" t="s">
        <v>663</v>
      </c>
      <c r="B381" s="10" t="s">
        <v>1530</v>
      </c>
      <c r="C381" s="10" t="s">
        <v>1182</v>
      </c>
      <c r="D381" s="10" t="s">
        <v>57</v>
      </c>
      <c r="E381" s="13" t="s">
        <v>821</v>
      </c>
      <c r="F381" s="13" t="s">
        <v>1134</v>
      </c>
      <c r="G381" s="13" t="s">
        <v>1201</v>
      </c>
      <c r="H381" s="11" t="s">
        <v>65</v>
      </c>
      <c r="I381" s="10" t="s">
        <v>1187</v>
      </c>
      <c r="J381" s="10" t="s">
        <v>1202</v>
      </c>
      <c r="L381" s="13" t="s">
        <v>1647</v>
      </c>
      <c r="M381" s="13" t="s">
        <v>1631</v>
      </c>
      <c r="N381" s="13" t="s">
        <v>1640</v>
      </c>
      <c r="O381" s="13" t="s">
        <v>1647</v>
      </c>
      <c r="P381" s="13" t="s">
        <v>1631</v>
      </c>
      <c r="R381" s="13" t="s">
        <v>1647</v>
      </c>
      <c r="S381" s="13" t="s">
        <v>1631</v>
      </c>
      <c r="U381" s="13" t="s">
        <v>1647</v>
      </c>
      <c r="V381" s="13" t="s">
        <v>1631</v>
      </c>
      <c r="W381" s="13"/>
    </row>
    <row r="382" spans="1:23" ht="105" x14ac:dyDescent="0.25">
      <c r="A382" s="13" t="s">
        <v>664</v>
      </c>
      <c r="B382" s="10" t="s">
        <v>1531</v>
      </c>
      <c r="C382" s="10" t="s">
        <v>1182</v>
      </c>
      <c r="D382" s="10" t="s">
        <v>57</v>
      </c>
      <c r="E382" s="13" t="s">
        <v>821</v>
      </c>
      <c r="F382" s="13" t="s">
        <v>1135</v>
      </c>
      <c r="G382" s="13" t="s">
        <v>1204</v>
      </c>
      <c r="H382" s="11" t="s">
        <v>65</v>
      </c>
      <c r="I382" s="10" t="s">
        <v>1187</v>
      </c>
      <c r="J382" s="10" t="s">
        <v>56</v>
      </c>
      <c r="L382" s="13" t="s">
        <v>1647</v>
      </c>
      <c r="M382" s="13" t="s">
        <v>1631</v>
      </c>
      <c r="N382" s="13" t="s">
        <v>1640</v>
      </c>
      <c r="O382" s="13" t="s">
        <v>1647</v>
      </c>
      <c r="P382" s="13" t="s">
        <v>1631</v>
      </c>
      <c r="R382" s="13" t="s">
        <v>1647</v>
      </c>
      <c r="S382" s="13" t="s">
        <v>1631</v>
      </c>
      <c r="U382" s="13" t="s">
        <v>1647</v>
      </c>
      <c r="V382" s="13" t="s">
        <v>1631</v>
      </c>
      <c r="W382" s="13"/>
    </row>
    <row r="383" spans="1:23" ht="105" x14ac:dyDescent="0.25">
      <c r="A383" s="13" t="s">
        <v>665</v>
      </c>
      <c r="B383" s="10" t="s">
        <v>1532</v>
      </c>
      <c r="C383" s="10" t="s">
        <v>1182</v>
      </c>
      <c r="D383" s="10" t="s">
        <v>57</v>
      </c>
      <c r="E383" s="13" t="s">
        <v>821</v>
      </c>
      <c r="F383" s="13" t="s">
        <v>1136</v>
      </c>
      <c r="G383" s="13" t="s">
        <v>1206</v>
      </c>
      <c r="H383" s="11" t="s">
        <v>65</v>
      </c>
      <c r="I383" s="10" t="s">
        <v>1187</v>
      </c>
      <c r="J383" s="10" t="s">
        <v>1207</v>
      </c>
      <c r="L383" s="13" t="s">
        <v>1647</v>
      </c>
      <c r="M383" s="13" t="s">
        <v>1631</v>
      </c>
      <c r="N383" s="13" t="s">
        <v>1640</v>
      </c>
      <c r="O383" s="13" t="s">
        <v>1647</v>
      </c>
      <c r="P383" s="13" t="s">
        <v>1631</v>
      </c>
      <c r="R383" s="13" t="s">
        <v>1647</v>
      </c>
      <c r="S383" s="13" t="s">
        <v>1631</v>
      </c>
      <c r="U383" s="13" t="s">
        <v>1647</v>
      </c>
      <c r="V383" s="13" t="s">
        <v>1631</v>
      </c>
      <c r="W383" s="13"/>
    </row>
    <row r="384" spans="1:23" ht="105" x14ac:dyDescent="0.25">
      <c r="A384" s="13" t="s">
        <v>666</v>
      </c>
      <c r="B384" s="10" t="s">
        <v>1533</v>
      </c>
      <c r="C384" s="10" t="s">
        <v>1182</v>
      </c>
      <c r="D384" s="10" t="s">
        <v>57</v>
      </c>
      <c r="E384" s="13" t="s">
        <v>821</v>
      </c>
      <c r="F384" s="13" t="s">
        <v>1137</v>
      </c>
      <c r="G384" s="13" t="s">
        <v>1209</v>
      </c>
      <c r="H384" s="11" t="s">
        <v>65</v>
      </c>
      <c r="I384" s="10" t="s">
        <v>1187</v>
      </c>
      <c r="J384" s="10" t="s">
        <v>56</v>
      </c>
      <c r="L384" s="13" t="s">
        <v>1647</v>
      </c>
      <c r="M384" s="13" t="s">
        <v>1631</v>
      </c>
      <c r="N384" s="13" t="s">
        <v>1640</v>
      </c>
      <c r="O384" s="13" t="s">
        <v>1647</v>
      </c>
      <c r="P384" s="13" t="s">
        <v>1631</v>
      </c>
      <c r="R384" s="13" t="s">
        <v>1647</v>
      </c>
      <c r="S384" s="13" t="s">
        <v>1631</v>
      </c>
      <c r="U384" s="13" t="s">
        <v>1647</v>
      </c>
      <c r="V384" s="13" t="s">
        <v>1631</v>
      </c>
      <c r="W384" s="13"/>
    </row>
    <row r="385" spans="1:23" ht="105" x14ac:dyDescent="0.25">
      <c r="A385" s="13" t="s">
        <v>667</v>
      </c>
      <c r="B385" s="10" t="s">
        <v>1534</v>
      </c>
      <c r="C385" s="10" t="s">
        <v>1182</v>
      </c>
      <c r="D385" s="10" t="s">
        <v>57</v>
      </c>
      <c r="E385" s="13" t="s">
        <v>821</v>
      </c>
      <c r="F385" s="13" t="s">
        <v>1138</v>
      </c>
      <c r="G385" s="13" t="s">
        <v>1211</v>
      </c>
      <c r="H385" s="11" t="s">
        <v>65</v>
      </c>
      <c r="I385" s="10" t="s">
        <v>1187</v>
      </c>
      <c r="J385" s="10" t="s">
        <v>1212</v>
      </c>
      <c r="L385" s="13" t="s">
        <v>1647</v>
      </c>
      <c r="M385" s="13" t="s">
        <v>1631</v>
      </c>
      <c r="N385" s="13" t="s">
        <v>1640</v>
      </c>
      <c r="O385" s="13" t="s">
        <v>1647</v>
      </c>
      <c r="P385" s="13" t="s">
        <v>1631</v>
      </c>
      <c r="R385" s="13" t="s">
        <v>1647</v>
      </c>
      <c r="S385" s="13" t="s">
        <v>1631</v>
      </c>
      <c r="U385" s="13" t="s">
        <v>1647</v>
      </c>
      <c r="V385" s="13" t="s">
        <v>1631</v>
      </c>
      <c r="W385" s="13"/>
    </row>
    <row r="386" spans="1:23" ht="180" x14ac:dyDescent="0.25">
      <c r="A386" s="13" t="s">
        <v>668</v>
      </c>
      <c r="B386" s="10" t="s">
        <v>1535</v>
      </c>
      <c r="C386" s="10" t="s">
        <v>1182</v>
      </c>
      <c r="D386" s="10" t="s">
        <v>57</v>
      </c>
      <c r="E386" s="13" t="s">
        <v>821</v>
      </c>
      <c r="F386" s="13" t="s">
        <v>1214</v>
      </c>
      <c r="G386" s="13" t="s">
        <v>834</v>
      </c>
      <c r="H386" s="11" t="s">
        <v>65</v>
      </c>
      <c r="I386" s="10" t="s">
        <v>1190</v>
      </c>
      <c r="J386" s="10" t="s">
        <v>56</v>
      </c>
      <c r="L386" s="13" t="s">
        <v>1647</v>
      </c>
      <c r="M386" s="13" t="s">
        <v>1631</v>
      </c>
      <c r="N386" s="13" t="s">
        <v>1640</v>
      </c>
      <c r="O386" s="13" t="s">
        <v>1647</v>
      </c>
      <c r="P386" s="13" t="s">
        <v>1631</v>
      </c>
      <c r="R386" s="13" t="s">
        <v>1647</v>
      </c>
      <c r="S386" s="13" t="s">
        <v>1631</v>
      </c>
      <c r="U386" s="13" t="s">
        <v>1647</v>
      </c>
      <c r="V386" s="13" t="s">
        <v>1631</v>
      </c>
      <c r="W386" s="13"/>
    </row>
    <row r="387" spans="1:23" ht="180" x14ac:dyDescent="0.25">
      <c r="A387" s="13" t="s">
        <v>669</v>
      </c>
      <c r="B387" s="10" t="s">
        <v>1536</v>
      </c>
      <c r="C387" s="10" t="s">
        <v>1182</v>
      </c>
      <c r="D387" s="10" t="s">
        <v>57</v>
      </c>
      <c r="E387" s="13" t="s">
        <v>821</v>
      </c>
      <c r="F387" s="13" t="s">
        <v>1216</v>
      </c>
      <c r="G387" s="13" t="s">
        <v>835</v>
      </c>
      <c r="H387" s="11" t="s">
        <v>65</v>
      </c>
      <c r="I387" s="10" t="s">
        <v>56</v>
      </c>
      <c r="J387" s="10" t="s">
        <v>1217</v>
      </c>
      <c r="L387" s="13" t="s">
        <v>1647</v>
      </c>
      <c r="M387" s="13" t="s">
        <v>1631</v>
      </c>
      <c r="N387" s="13" t="s">
        <v>1640</v>
      </c>
      <c r="O387" s="13" t="s">
        <v>1647</v>
      </c>
      <c r="P387" s="13" t="s">
        <v>1631</v>
      </c>
      <c r="R387" s="13" t="s">
        <v>1647</v>
      </c>
      <c r="S387" s="13" t="s">
        <v>1631</v>
      </c>
      <c r="U387" s="13" t="s">
        <v>1647</v>
      </c>
      <c r="V387" s="13" t="s">
        <v>1631</v>
      </c>
      <c r="W387" s="13"/>
    </row>
    <row r="388" spans="1:23" ht="180" x14ac:dyDescent="0.25">
      <c r="A388" s="13" t="s">
        <v>670</v>
      </c>
      <c r="B388" s="10" t="s">
        <v>1537</v>
      </c>
      <c r="C388" s="10" t="s">
        <v>1182</v>
      </c>
      <c r="D388" s="10" t="s">
        <v>57</v>
      </c>
      <c r="E388" s="13" t="s">
        <v>821</v>
      </c>
      <c r="F388" s="13" t="s">
        <v>1219</v>
      </c>
      <c r="G388" s="13" t="s">
        <v>835</v>
      </c>
      <c r="H388" s="11" t="s">
        <v>65</v>
      </c>
      <c r="I388" s="10" t="s">
        <v>56</v>
      </c>
      <c r="J388" s="10" t="s">
        <v>1220</v>
      </c>
      <c r="L388" s="13" t="s">
        <v>1647</v>
      </c>
      <c r="M388" s="13" t="s">
        <v>1631</v>
      </c>
      <c r="N388" s="13" t="s">
        <v>1640</v>
      </c>
      <c r="O388" s="13" t="s">
        <v>1647</v>
      </c>
      <c r="P388" s="13" t="s">
        <v>1631</v>
      </c>
      <c r="R388" s="13" t="s">
        <v>1647</v>
      </c>
      <c r="S388" s="13" t="s">
        <v>1631</v>
      </c>
      <c r="U388" s="13" t="s">
        <v>1647</v>
      </c>
      <c r="V388" s="13" t="s">
        <v>1631</v>
      </c>
      <c r="W388" s="13"/>
    </row>
    <row r="389" spans="1:23" ht="180" x14ac:dyDescent="0.25">
      <c r="A389" s="13" t="s">
        <v>671</v>
      </c>
      <c r="B389" s="10" t="s">
        <v>1538</v>
      </c>
      <c r="C389" s="10" t="s">
        <v>1182</v>
      </c>
      <c r="D389" s="10" t="s">
        <v>57</v>
      </c>
      <c r="E389" s="13" t="s">
        <v>821</v>
      </c>
      <c r="F389" s="13" t="s">
        <v>1222</v>
      </c>
      <c r="G389" s="13" t="s">
        <v>835</v>
      </c>
      <c r="H389" s="11" t="s">
        <v>65</v>
      </c>
      <c r="I389" s="10" t="s">
        <v>56</v>
      </c>
      <c r="J389" s="10" t="s">
        <v>1223</v>
      </c>
      <c r="L389" s="13" t="s">
        <v>1647</v>
      </c>
      <c r="M389" s="13" t="s">
        <v>1631</v>
      </c>
      <c r="N389" s="13" t="s">
        <v>1640</v>
      </c>
      <c r="O389" s="13" t="s">
        <v>1647</v>
      </c>
      <c r="P389" s="13" t="s">
        <v>1631</v>
      </c>
      <c r="R389" s="13" t="s">
        <v>1647</v>
      </c>
      <c r="S389" s="13" t="s">
        <v>1631</v>
      </c>
      <c r="U389" s="13" t="s">
        <v>1647</v>
      </c>
      <c r="V389" s="13" t="s">
        <v>1631</v>
      </c>
      <c r="W389" s="13"/>
    </row>
    <row r="390" spans="1:23" ht="180" x14ac:dyDescent="0.25">
      <c r="A390" s="13" t="s">
        <v>672</v>
      </c>
      <c r="B390" s="10" t="s">
        <v>1539</v>
      </c>
      <c r="C390" s="10" t="s">
        <v>1182</v>
      </c>
      <c r="D390" s="10" t="s">
        <v>57</v>
      </c>
      <c r="E390" s="13" t="s">
        <v>821</v>
      </c>
      <c r="F390" s="13" t="s">
        <v>1225</v>
      </c>
      <c r="G390" s="13" t="s">
        <v>835</v>
      </c>
      <c r="H390" s="11" t="s">
        <v>65</v>
      </c>
      <c r="I390" s="10" t="s">
        <v>56</v>
      </c>
      <c r="J390" s="10" t="s">
        <v>1226</v>
      </c>
      <c r="L390" s="13" t="s">
        <v>1647</v>
      </c>
      <c r="M390" s="13" t="s">
        <v>1631</v>
      </c>
      <c r="N390" s="13" t="s">
        <v>1640</v>
      </c>
      <c r="O390" s="13" t="s">
        <v>1647</v>
      </c>
      <c r="P390" s="13" t="s">
        <v>1631</v>
      </c>
      <c r="R390" s="13" t="s">
        <v>1647</v>
      </c>
      <c r="S390" s="13" t="s">
        <v>1631</v>
      </c>
      <c r="U390" s="13" t="s">
        <v>1647</v>
      </c>
      <c r="V390" s="13" t="s">
        <v>1631</v>
      </c>
      <c r="W390" s="13"/>
    </row>
    <row r="391" spans="1:23" ht="180" x14ac:dyDescent="0.25">
      <c r="A391" s="13" t="s">
        <v>673</v>
      </c>
      <c r="B391" s="10" t="s">
        <v>1540</v>
      </c>
      <c r="C391" s="10" t="s">
        <v>1182</v>
      </c>
      <c r="D391" s="10" t="s">
        <v>57</v>
      </c>
      <c r="E391" s="13" t="s">
        <v>821</v>
      </c>
      <c r="F391" s="13" t="s">
        <v>1228</v>
      </c>
      <c r="G391" s="13" t="s">
        <v>835</v>
      </c>
      <c r="H391" s="11" t="s">
        <v>65</v>
      </c>
      <c r="I391" s="10" t="s">
        <v>56</v>
      </c>
      <c r="J391" s="10" t="s">
        <v>1229</v>
      </c>
      <c r="L391" s="13" t="s">
        <v>1647</v>
      </c>
      <c r="M391" s="13" t="s">
        <v>1631</v>
      </c>
      <c r="N391" s="13" t="s">
        <v>1640</v>
      </c>
      <c r="O391" s="13" t="s">
        <v>1647</v>
      </c>
      <c r="P391" s="13" t="s">
        <v>1631</v>
      </c>
      <c r="R391" s="13" t="s">
        <v>1647</v>
      </c>
      <c r="S391" s="13" t="s">
        <v>1631</v>
      </c>
      <c r="U391" s="13" t="s">
        <v>1647</v>
      </c>
      <c r="V391" s="13" t="s">
        <v>1631</v>
      </c>
      <c r="W391" s="13"/>
    </row>
    <row r="392" spans="1:23" ht="180" x14ac:dyDescent="0.25">
      <c r="A392" s="13" t="s">
        <v>674</v>
      </c>
      <c r="B392" s="10" t="s">
        <v>1541</v>
      </c>
      <c r="C392" s="10" t="s">
        <v>1182</v>
      </c>
      <c r="D392" s="10" t="s">
        <v>57</v>
      </c>
      <c r="E392" s="13" t="s">
        <v>821</v>
      </c>
      <c r="F392" s="13" t="s">
        <v>1231</v>
      </c>
      <c r="G392" s="13" t="s">
        <v>835</v>
      </c>
      <c r="H392" s="11" t="s">
        <v>65</v>
      </c>
      <c r="I392" s="10" t="s">
        <v>56</v>
      </c>
      <c r="J392" s="10" t="s">
        <v>1232</v>
      </c>
      <c r="L392" s="13" t="s">
        <v>1647</v>
      </c>
      <c r="M392" s="13" t="s">
        <v>1631</v>
      </c>
      <c r="N392" s="13" t="s">
        <v>1640</v>
      </c>
      <c r="O392" s="13" t="s">
        <v>1647</v>
      </c>
      <c r="P392" s="13" t="s">
        <v>1631</v>
      </c>
      <c r="R392" s="13" t="s">
        <v>1647</v>
      </c>
      <c r="S392" s="13" t="s">
        <v>1631</v>
      </c>
      <c r="U392" s="13" t="s">
        <v>1647</v>
      </c>
      <c r="V392" s="13" t="s">
        <v>1631</v>
      </c>
      <c r="W392" s="13"/>
    </row>
    <row r="393" spans="1:23" ht="150" x14ac:dyDescent="0.25">
      <c r="A393" s="13" t="s">
        <v>675</v>
      </c>
      <c r="B393" s="10" t="s">
        <v>1542</v>
      </c>
      <c r="C393" s="10" t="s">
        <v>1182</v>
      </c>
      <c r="D393" s="10" t="s">
        <v>57</v>
      </c>
      <c r="E393" s="13" t="s">
        <v>821</v>
      </c>
      <c r="F393" s="13" t="s">
        <v>1234</v>
      </c>
      <c r="G393" s="13" t="s">
        <v>835</v>
      </c>
      <c r="H393" s="11" t="s">
        <v>65</v>
      </c>
      <c r="I393" s="10" t="s">
        <v>1190</v>
      </c>
      <c r="J393" s="10" t="s">
        <v>56</v>
      </c>
      <c r="L393" s="13" t="s">
        <v>1647</v>
      </c>
      <c r="M393" s="13" t="s">
        <v>1631</v>
      </c>
      <c r="N393" s="13" t="s">
        <v>1640</v>
      </c>
      <c r="O393" s="13" t="s">
        <v>1647</v>
      </c>
      <c r="P393" s="13" t="s">
        <v>1631</v>
      </c>
      <c r="R393" s="13" t="s">
        <v>1647</v>
      </c>
      <c r="S393" s="13" t="s">
        <v>1631</v>
      </c>
      <c r="U393" s="13" t="s">
        <v>1647</v>
      </c>
      <c r="V393" s="13" t="s">
        <v>1631</v>
      </c>
      <c r="W393" s="13"/>
    </row>
    <row r="394" spans="1:23" ht="150" x14ac:dyDescent="0.25">
      <c r="A394" s="13" t="s">
        <v>676</v>
      </c>
      <c r="B394" s="10" t="s">
        <v>1543</v>
      </c>
      <c r="C394" s="10" t="s">
        <v>1182</v>
      </c>
      <c r="D394" s="10" t="s">
        <v>57</v>
      </c>
      <c r="E394" s="13" t="s">
        <v>821</v>
      </c>
      <c r="F394" s="13" t="s">
        <v>1236</v>
      </c>
      <c r="G394" s="13" t="s">
        <v>835</v>
      </c>
      <c r="H394" s="11" t="s">
        <v>65</v>
      </c>
      <c r="I394" s="10" t="s">
        <v>1190</v>
      </c>
      <c r="J394" s="10" t="s">
        <v>56</v>
      </c>
      <c r="L394" s="13" t="s">
        <v>1647</v>
      </c>
      <c r="M394" s="13" t="s">
        <v>1631</v>
      </c>
      <c r="N394" s="13" t="s">
        <v>1640</v>
      </c>
      <c r="O394" s="13" t="s">
        <v>1647</v>
      </c>
      <c r="P394" s="13" t="s">
        <v>1631</v>
      </c>
      <c r="R394" s="13" t="s">
        <v>1647</v>
      </c>
      <c r="S394" s="13" t="s">
        <v>1631</v>
      </c>
      <c r="U394" s="13" t="s">
        <v>1647</v>
      </c>
      <c r="V394" s="13" t="s">
        <v>1631</v>
      </c>
      <c r="W394" s="13"/>
    </row>
    <row r="395" spans="1:23" ht="150" x14ac:dyDescent="0.25">
      <c r="A395" s="13" t="s">
        <v>677</v>
      </c>
      <c r="B395" s="10" t="s">
        <v>1544</v>
      </c>
      <c r="C395" s="10" t="s">
        <v>1182</v>
      </c>
      <c r="D395" s="10" t="s">
        <v>57</v>
      </c>
      <c r="E395" s="13" t="s">
        <v>821</v>
      </c>
      <c r="F395" s="13" t="s">
        <v>1238</v>
      </c>
      <c r="G395" s="13" t="s">
        <v>835</v>
      </c>
      <c r="H395" s="11" t="s">
        <v>65</v>
      </c>
      <c r="I395" s="10" t="s">
        <v>1190</v>
      </c>
      <c r="J395" s="10" t="s">
        <v>56</v>
      </c>
      <c r="L395" s="13" t="s">
        <v>1647</v>
      </c>
      <c r="M395" s="13" t="s">
        <v>1631</v>
      </c>
      <c r="N395" s="13" t="s">
        <v>1640</v>
      </c>
      <c r="O395" s="13" t="s">
        <v>1647</v>
      </c>
      <c r="P395" s="13" t="s">
        <v>1631</v>
      </c>
      <c r="R395" s="13" t="s">
        <v>1647</v>
      </c>
      <c r="S395" s="13" t="s">
        <v>1631</v>
      </c>
      <c r="U395" s="13" t="s">
        <v>1647</v>
      </c>
      <c r="V395" s="13" t="s">
        <v>1631</v>
      </c>
      <c r="W395" s="13"/>
    </row>
    <row r="396" spans="1:23" ht="90" x14ac:dyDescent="0.25">
      <c r="A396" s="13" t="s">
        <v>678</v>
      </c>
      <c r="B396" s="10" t="s">
        <v>1073</v>
      </c>
      <c r="C396" s="10" t="s">
        <v>1182</v>
      </c>
      <c r="D396" s="10" t="s">
        <v>57</v>
      </c>
      <c r="E396" s="13" t="s">
        <v>821</v>
      </c>
      <c r="F396" s="13" t="s">
        <v>847</v>
      </c>
      <c r="G396" s="13" t="s">
        <v>898</v>
      </c>
      <c r="H396" s="11" t="s">
        <v>65</v>
      </c>
      <c r="I396" s="10" t="s">
        <v>1187</v>
      </c>
      <c r="J396" s="10" t="s">
        <v>1619</v>
      </c>
      <c r="L396" s="13" t="s">
        <v>1647</v>
      </c>
      <c r="M396" s="13" t="s">
        <v>1631</v>
      </c>
      <c r="N396" s="13" t="s">
        <v>1640</v>
      </c>
      <c r="O396" s="13" t="s">
        <v>1647</v>
      </c>
      <c r="P396" s="13" t="s">
        <v>1631</v>
      </c>
      <c r="R396" s="13" t="s">
        <v>1647</v>
      </c>
      <c r="S396" s="13" t="s">
        <v>1631</v>
      </c>
      <c r="U396" s="13" t="s">
        <v>1647</v>
      </c>
      <c r="V396" s="13" t="s">
        <v>1631</v>
      </c>
      <c r="W396" s="13"/>
    </row>
    <row r="397" spans="1:23" ht="75" x14ac:dyDescent="0.25">
      <c r="A397" s="13" t="s">
        <v>679</v>
      </c>
      <c r="B397" s="10" t="s">
        <v>1074</v>
      </c>
      <c r="C397" s="10" t="s">
        <v>1182</v>
      </c>
      <c r="D397" s="10" t="s">
        <v>57</v>
      </c>
      <c r="E397" s="13" t="s">
        <v>821</v>
      </c>
      <c r="F397" s="13" t="s">
        <v>847</v>
      </c>
      <c r="G397" s="13" t="s">
        <v>866</v>
      </c>
      <c r="H397" s="11" t="s">
        <v>65</v>
      </c>
      <c r="I397" s="10" t="s">
        <v>1190</v>
      </c>
      <c r="J397" s="10" t="s">
        <v>56</v>
      </c>
      <c r="L397" s="13" t="s">
        <v>1647</v>
      </c>
      <c r="M397" s="13" t="s">
        <v>1631</v>
      </c>
      <c r="N397" s="13" t="s">
        <v>1640</v>
      </c>
      <c r="O397" s="13" t="s">
        <v>1647</v>
      </c>
      <c r="P397" s="13" t="s">
        <v>1631</v>
      </c>
      <c r="R397" s="13" t="s">
        <v>1647</v>
      </c>
      <c r="S397" s="13" t="s">
        <v>1631</v>
      </c>
      <c r="U397" s="13" t="s">
        <v>1647</v>
      </c>
      <c r="V397" s="13" t="s">
        <v>1631</v>
      </c>
      <c r="W397" s="13"/>
    </row>
    <row r="398" spans="1:23" ht="409.5" x14ac:dyDescent="0.25">
      <c r="A398" s="13" t="s">
        <v>680</v>
      </c>
      <c r="B398" s="10" t="s">
        <v>1075</v>
      </c>
      <c r="C398" s="10" t="s">
        <v>1182</v>
      </c>
      <c r="D398" s="10" t="s">
        <v>57</v>
      </c>
      <c r="E398" s="13" t="s">
        <v>857</v>
      </c>
      <c r="F398" s="13" t="s">
        <v>870</v>
      </c>
      <c r="G398" s="13" t="s">
        <v>901</v>
      </c>
      <c r="H398" s="11" t="s">
        <v>65</v>
      </c>
      <c r="I398" s="10" t="s">
        <v>1188</v>
      </c>
      <c r="J398" s="10" t="s">
        <v>871</v>
      </c>
      <c r="L398" s="13" t="s">
        <v>1647</v>
      </c>
      <c r="M398" s="13" t="s">
        <v>1631</v>
      </c>
      <c r="N398" s="13" t="s">
        <v>1640</v>
      </c>
      <c r="O398" s="13" t="s">
        <v>1647</v>
      </c>
      <c r="P398" s="13" t="s">
        <v>1631</v>
      </c>
      <c r="R398" s="13" t="s">
        <v>1647</v>
      </c>
      <c r="S398" s="13" t="s">
        <v>1631</v>
      </c>
      <c r="U398" s="13" t="s">
        <v>1647</v>
      </c>
      <c r="V398" s="13" t="s">
        <v>1631</v>
      </c>
      <c r="W398" s="13"/>
    </row>
    <row r="399" spans="1:23" ht="210" x14ac:dyDescent="0.25">
      <c r="A399" s="13" t="s">
        <v>681</v>
      </c>
      <c r="B399" s="10" t="s">
        <v>1076</v>
      </c>
      <c r="C399" s="10" t="s">
        <v>1182</v>
      </c>
      <c r="D399" s="10" t="s">
        <v>57</v>
      </c>
      <c r="E399" s="13" t="s">
        <v>821</v>
      </c>
      <c r="F399" s="13" t="s">
        <v>872</v>
      </c>
      <c r="G399" s="13" t="s">
        <v>922</v>
      </c>
      <c r="H399" s="11" t="s">
        <v>65</v>
      </c>
      <c r="I399" s="10" t="s">
        <v>56</v>
      </c>
      <c r="J399" s="10" t="s">
        <v>1183</v>
      </c>
      <c r="L399" s="13" t="s">
        <v>1647</v>
      </c>
      <c r="M399" s="13" t="s">
        <v>1631</v>
      </c>
      <c r="N399" s="13" t="s">
        <v>1640</v>
      </c>
      <c r="O399" s="13" t="s">
        <v>1647</v>
      </c>
      <c r="P399" s="13" t="s">
        <v>1631</v>
      </c>
      <c r="R399" s="13" t="s">
        <v>1647</v>
      </c>
      <c r="S399" s="13" t="s">
        <v>1631</v>
      </c>
      <c r="U399" s="13" t="s">
        <v>1647</v>
      </c>
      <c r="V399" s="13" t="s">
        <v>1631</v>
      </c>
      <c r="W399" s="13"/>
    </row>
    <row r="400" spans="1:23" ht="180" x14ac:dyDescent="0.25">
      <c r="A400" s="13" t="s">
        <v>682</v>
      </c>
      <c r="B400" s="10" t="s">
        <v>1077</v>
      </c>
      <c r="C400" s="10" t="s">
        <v>1182</v>
      </c>
      <c r="D400" s="10" t="s">
        <v>57</v>
      </c>
      <c r="E400" s="13" t="s">
        <v>821</v>
      </c>
      <c r="F400" s="13" t="s">
        <v>870</v>
      </c>
      <c r="G400" s="13" t="s">
        <v>922</v>
      </c>
      <c r="H400" s="11" t="s">
        <v>65</v>
      </c>
      <c r="I400" s="10" t="s">
        <v>56</v>
      </c>
      <c r="J400" s="10" t="s">
        <v>1184</v>
      </c>
      <c r="L400" s="13" t="s">
        <v>1647</v>
      </c>
      <c r="M400" s="13" t="s">
        <v>1631</v>
      </c>
      <c r="N400" s="13" t="s">
        <v>1640</v>
      </c>
      <c r="O400" s="13" t="s">
        <v>1647</v>
      </c>
      <c r="P400" s="13" t="s">
        <v>1631</v>
      </c>
      <c r="R400" s="13" t="s">
        <v>1647</v>
      </c>
      <c r="S400" s="13" t="s">
        <v>1631</v>
      </c>
      <c r="U400" s="13" t="s">
        <v>1647</v>
      </c>
      <c r="V400" s="13" t="s">
        <v>1631</v>
      </c>
      <c r="W400" s="13"/>
    </row>
    <row r="401" spans="1:23" ht="165" x14ac:dyDescent="0.25">
      <c r="A401" s="13" t="s">
        <v>683</v>
      </c>
      <c r="B401" s="10" t="s">
        <v>1078</v>
      </c>
      <c r="C401" s="10" t="s">
        <v>1182</v>
      </c>
      <c r="D401" s="10" t="s">
        <v>57</v>
      </c>
      <c r="E401" s="13" t="s">
        <v>821</v>
      </c>
      <c r="F401" s="13" t="s">
        <v>879</v>
      </c>
      <c r="G401" s="13" t="s">
        <v>922</v>
      </c>
      <c r="H401" s="11" t="s">
        <v>65</v>
      </c>
      <c r="I401" s="10" t="s">
        <v>1187</v>
      </c>
      <c r="J401" s="10" t="s">
        <v>56</v>
      </c>
      <c r="L401" s="13" t="s">
        <v>1647</v>
      </c>
      <c r="M401" s="13" t="s">
        <v>1631</v>
      </c>
      <c r="N401" s="13" t="s">
        <v>1640</v>
      </c>
      <c r="O401" s="13" t="s">
        <v>1647</v>
      </c>
      <c r="P401" s="13" t="s">
        <v>1631</v>
      </c>
      <c r="R401" s="13" t="s">
        <v>1647</v>
      </c>
      <c r="S401" s="13" t="s">
        <v>1631</v>
      </c>
      <c r="U401" s="13" t="s">
        <v>1647</v>
      </c>
      <c r="V401" s="13" t="s">
        <v>1631</v>
      </c>
      <c r="W401" s="13"/>
    </row>
    <row r="402" spans="1:23" ht="165" x14ac:dyDescent="0.25">
      <c r="A402" s="13" t="s">
        <v>684</v>
      </c>
      <c r="B402" s="10" t="s">
        <v>1079</v>
      </c>
      <c r="C402" s="10" t="s">
        <v>1182</v>
      </c>
      <c r="D402" s="10" t="s">
        <v>57</v>
      </c>
      <c r="E402" s="13" t="s">
        <v>821</v>
      </c>
      <c r="F402" s="13" t="s">
        <v>880</v>
      </c>
      <c r="G402" s="13" t="s">
        <v>922</v>
      </c>
      <c r="H402" s="11" t="s">
        <v>65</v>
      </c>
      <c r="I402" s="10" t="s">
        <v>1187</v>
      </c>
      <c r="J402" s="10" t="s">
        <v>56</v>
      </c>
      <c r="L402" s="13" t="s">
        <v>1647</v>
      </c>
      <c r="M402" s="13" t="s">
        <v>1631</v>
      </c>
      <c r="N402" s="13" t="s">
        <v>1640</v>
      </c>
      <c r="O402" s="13" t="s">
        <v>1647</v>
      </c>
      <c r="P402" s="13" t="s">
        <v>1631</v>
      </c>
      <c r="R402" s="13" t="s">
        <v>1647</v>
      </c>
      <c r="S402" s="13" t="s">
        <v>1631</v>
      </c>
      <c r="U402" s="13" t="s">
        <v>1647</v>
      </c>
      <c r="V402" s="13" t="s">
        <v>1631</v>
      </c>
      <c r="W402" s="13"/>
    </row>
    <row r="403" spans="1:23" ht="135" x14ac:dyDescent="0.25">
      <c r="A403" s="13" t="s">
        <v>685</v>
      </c>
      <c r="B403" s="10" t="s">
        <v>1080</v>
      </c>
      <c r="C403" s="10" t="s">
        <v>1182</v>
      </c>
      <c r="D403" s="10" t="s">
        <v>57</v>
      </c>
      <c r="E403" s="13" t="s">
        <v>821</v>
      </c>
      <c r="F403" s="13" t="s">
        <v>881</v>
      </c>
      <c r="G403" s="13" t="s">
        <v>922</v>
      </c>
      <c r="H403" s="11" t="s">
        <v>65</v>
      </c>
      <c r="I403" s="10" t="s">
        <v>1187</v>
      </c>
      <c r="J403" s="10" t="s">
        <v>56</v>
      </c>
      <c r="L403" s="13" t="s">
        <v>1647</v>
      </c>
      <c r="M403" s="13" t="s">
        <v>1631</v>
      </c>
      <c r="N403" s="13" t="s">
        <v>1640</v>
      </c>
      <c r="O403" s="13" t="s">
        <v>1647</v>
      </c>
      <c r="P403" s="13" t="s">
        <v>1631</v>
      </c>
      <c r="R403" s="13" t="s">
        <v>1647</v>
      </c>
      <c r="S403" s="13" t="s">
        <v>1631</v>
      </c>
      <c r="U403" s="13" t="s">
        <v>1647</v>
      </c>
      <c r="V403" s="13" t="s">
        <v>1631</v>
      </c>
      <c r="W403" s="13"/>
    </row>
    <row r="404" spans="1:23" ht="135" x14ac:dyDescent="0.25">
      <c r="A404" s="13" t="s">
        <v>686</v>
      </c>
      <c r="B404" s="10" t="s">
        <v>1081</v>
      </c>
      <c r="C404" s="10" t="s">
        <v>1182</v>
      </c>
      <c r="D404" s="10" t="s">
        <v>57</v>
      </c>
      <c r="E404" s="13" t="s">
        <v>821</v>
      </c>
      <c r="F404" s="13" t="s">
        <v>882</v>
      </c>
      <c r="G404" s="13" t="s">
        <v>922</v>
      </c>
      <c r="H404" s="11" t="s">
        <v>65</v>
      </c>
      <c r="I404" s="10" t="s">
        <v>1187</v>
      </c>
      <c r="J404" s="10" t="s">
        <v>56</v>
      </c>
      <c r="L404" s="13" t="s">
        <v>1647</v>
      </c>
      <c r="M404" s="13" t="s">
        <v>1631</v>
      </c>
      <c r="N404" s="13" t="s">
        <v>1640</v>
      </c>
      <c r="O404" s="13" t="s">
        <v>1647</v>
      </c>
      <c r="P404" s="13" t="s">
        <v>1631</v>
      </c>
      <c r="R404" s="13" t="s">
        <v>1647</v>
      </c>
      <c r="S404" s="13" t="s">
        <v>1631</v>
      </c>
      <c r="U404" s="13" t="s">
        <v>1647</v>
      </c>
      <c r="V404" s="13" t="s">
        <v>1631</v>
      </c>
      <c r="W404" s="13"/>
    </row>
    <row r="405" spans="1:23" ht="105" x14ac:dyDescent="0.25">
      <c r="A405" s="13" t="s">
        <v>687</v>
      </c>
      <c r="B405" s="10" t="s">
        <v>1545</v>
      </c>
      <c r="C405" s="10" t="s">
        <v>1182</v>
      </c>
      <c r="D405" s="10" t="s">
        <v>57</v>
      </c>
      <c r="E405" s="13" t="s">
        <v>824</v>
      </c>
      <c r="F405" s="13" t="s">
        <v>1133</v>
      </c>
      <c r="G405" s="13" t="s">
        <v>1199</v>
      </c>
      <c r="H405" s="11" t="s">
        <v>65</v>
      </c>
      <c r="I405" s="10" t="s">
        <v>1187</v>
      </c>
      <c r="J405" s="10" t="s">
        <v>56</v>
      </c>
      <c r="L405" s="13" t="s">
        <v>1647</v>
      </c>
      <c r="M405" s="13" t="s">
        <v>1631</v>
      </c>
      <c r="N405" s="13" t="s">
        <v>1640</v>
      </c>
      <c r="O405" s="13" t="s">
        <v>1647</v>
      </c>
      <c r="P405" s="13" t="s">
        <v>1631</v>
      </c>
      <c r="R405" s="13" t="s">
        <v>1647</v>
      </c>
      <c r="S405" s="13" t="s">
        <v>1631</v>
      </c>
      <c r="U405" s="13" t="s">
        <v>1647</v>
      </c>
      <c r="V405" s="13" t="s">
        <v>1631</v>
      </c>
      <c r="W405" s="13"/>
    </row>
    <row r="406" spans="1:23" ht="105" x14ac:dyDescent="0.25">
      <c r="A406" s="13" t="s">
        <v>688</v>
      </c>
      <c r="B406" s="10" t="s">
        <v>1546</v>
      </c>
      <c r="C406" s="10" t="s">
        <v>1182</v>
      </c>
      <c r="D406" s="10" t="s">
        <v>57</v>
      </c>
      <c r="E406" s="13" t="s">
        <v>824</v>
      </c>
      <c r="F406" s="13" t="s">
        <v>1134</v>
      </c>
      <c r="G406" s="13" t="s">
        <v>1201</v>
      </c>
      <c r="H406" s="11" t="s">
        <v>65</v>
      </c>
      <c r="I406" s="10" t="s">
        <v>1187</v>
      </c>
      <c r="J406" s="10" t="s">
        <v>1202</v>
      </c>
      <c r="L406" s="13" t="s">
        <v>1647</v>
      </c>
      <c r="M406" s="13" t="s">
        <v>1631</v>
      </c>
      <c r="N406" s="13" t="s">
        <v>1640</v>
      </c>
      <c r="O406" s="13" t="s">
        <v>1647</v>
      </c>
      <c r="P406" s="13" t="s">
        <v>1631</v>
      </c>
      <c r="R406" s="13" t="s">
        <v>1647</v>
      </c>
      <c r="S406" s="13" t="s">
        <v>1631</v>
      </c>
      <c r="U406" s="13" t="s">
        <v>1647</v>
      </c>
      <c r="V406" s="13" t="s">
        <v>1631</v>
      </c>
      <c r="W406" s="13"/>
    </row>
    <row r="407" spans="1:23" ht="105" x14ac:dyDescent="0.25">
      <c r="A407" s="13" t="s">
        <v>689</v>
      </c>
      <c r="B407" s="10" t="s">
        <v>1547</v>
      </c>
      <c r="C407" s="10" t="s">
        <v>1182</v>
      </c>
      <c r="D407" s="10" t="s">
        <v>57</v>
      </c>
      <c r="E407" s="13" t="s">
        <v>824</v>
      </c>
      <c r="F407" s="13" t="s">
        <v>1135</v>
      </c>
      <c r="G407" s="13" t="s">
        <v>1204</v>
      </c>
      <c r="H407" s="11" t="s">
        <v>65</v>
      </c>
      <c r="I407" s="10" t="s">
        <v>1187</v>
      </c>
      <c r="J407" s="10" t="s">
        <v>56</v>
      </c>
      <c r="L407" s="13" t="s">
        <v>1647</v>
      </c>
      <c r="M407" s="13" t="s">
        <v>1631</v>
      </c>
      <c r="N407" s="13" t="s">
        <v>1640</v>
      </c>
      <c r="O407" s="13" t="s">
        <v>1647</v>
      </c>
      <c r="P407" s="13" t="s">
        <v>1631</v>
      </c>
      <c r="R407" s="13" t="s">
        <v>1647</v>
      </c>
      <c r="S407" s="13" t="s">
        <v>1631</v>
      </c>
      <c r="U407" s="13" t="s">
        <v>1647</v>
      </c>
      <c r="V407" s="13" t="s">
        <v>1631</v>
      </c>
      <c r="W407" s="13"/>
    </row>
    <row r="408" spans="1:23" ht="105" x14ac:dyDescent="0.25">
      <c r="A408" s="13" t="s">
        <v>690</v>
      </c>
      <c r="B408" s="10" t="s">
        <v>1548</v>
      </c>
      <c r="C408" s="10" t="s">
        <v>1182</v>
      </c>
      <c r="D408" s="10" t="s">
        <v>57</v>
      </c>
      <c r="E408" s="13" t="s">
        <v>824</v>
      </c>
      <c r="F408" s="13" t="s">
        <v>1136</v>
      </c>
      <c r="G408" s="13" t="s">
        <v>1206</v>
      </c>
      <c r="H408" s="11" t="s">
        <v>65</v>
      </c>
      <c r="I408" s="10" t="s">
        <v>1187</v>
      </c>
      <c r="J408" s="10" t="s">
        <v>1207</v>
      </c>
      <c r="L408" s="13" t="s">
        <v>1647</v>
      </c>
      <c r="M408" s="13" t="s">
        <v>1631</v>
      </c>
      <c r="N408" s="13" t="s">
        <v>1640</v>
      </c>
      <c r="O408" s="13" t="s">
        <v>1647</v>
      </c>
      <c r="P408" s="13" t="s">
        <v>1631</v>
      </c>
      <c r="R408" s="13" t="s">
        <v>1647</v>
      </c>
      <c r="S408" s="13" t="s">
        <v>1631</v>
      </c>
      <c r="U408" s="13" t="s">
        <v>1647</v>
      </c>
      <c r="V408" s="13" t="s">
        <v>1631</v>
      </c>
      <c r="W408" s="13"/>
    </row>
    <row r="409" spans="1:23" ht="105" x14ac:dyDescent="0.25">
      <c r="A409" s="13" t="s">
        <v>691</v>
      </c>
      <c r="B409" s="10" t="s">
        <v>1549</v>
      </c>
      <c r="C409" s="10" t="s">
        <v>1182</v>
      </c>
      <c r="D409" s="10" t="s">
        <v>57</v>
      </c>
      <c r="E409" s="13" t="s">
        <v>824</v>
      </c>
      <c r="F409" s="13" t="s">
        <v>1137</v>
      </c>
      <c r="G409" s="13" t="s">
        <v>1209</v>
      </c>
      <c r="H409" s="11" t="s">
        <v>65</v>
      </c>
      <c r="I409" s="10" t="s">
        <v>1187</v>
      </c>
      <c r="J409" s="10" t="s">
        <v>56</v>
      </c>
      <c r="L409" s="13" t="s">
        <v>1647</v>
      </c>
      <c r="M409" s="13" t="s">
        <v>1631</v>
      </c>
      <c r="N409" s="13" t="s">
        <v>1640</v>
      </c>
      <c r="O409" s="13" t="s">
        <v>1647</v>
      </c>
      <c r="P409" s="13" t="s">
        <v>1631</v>
      </c>
      <c r="R409" s="13" t="s">
        <v>1647</v>
      </c>
      <c r="S409" s="13" t="s">
        <v>1631</v>
      </c>
      <c r="U409" s="13" t="s">
        <v>1647</v>
      </c>
      <c r="V409" s="13" t="s">
        <v>1631</v>
      </c>
      <c r="W409" s="13"/>
    </row>
    <row r="410" spans="1:23" ht="105" x14ac:dyDescent="0.25">
      <c r="A410" s="13" t="s">
        <v>692</v>
      </c>
      <c r="B410" s="10" t="s">
        <v>1550</v>
      </c>
      <c r="C410" s="10" t="s">
        <v>1182</v>
      </c>
      <c r="D410" s="10" t="s">
        <v>57</v>
      </c>
      <c r="E410" s="13" t="s">
        <v>824</v>
      </c>
      <c r="F410" s="13" t="s">
        <v>1138</v>
      </c>
      <c r="G410" s="13" t="s">
        <v>1211</v>
      </c>
      <c r="H410" s="11" t="s">
        <v>65</v>
      </c>
      <c r="I410" s="10" t="s">
        <v>1187</v>
      </c>
      <c r="J410" s="10" t="s">
        <v>1212</v>
      </c>
      <c r="L410" s="13" t="s">
        <v>1647</v>
      </c>
      <c r="M410" s="13" t="s">
        <v>1631</v>
      </c>
      <c r="N410" s="13" t="s">
        <v>1640</v>
      </c>
      <c r="O410" s="13" t="s">
        <v>1647</v>
      </c>
      <c r="P410" s="13" t="s">
        <v>1631</v>
      </c>
      <c r="R410" s="13" t="s">
        <v>1647</v>
      </c>
      <c r="S410" s="13" t="s">
        <v>1631</v>
      </c>
      <c r="U410" s="13" t="s">
        <v>1647</v>
      </c>
      <c r="V410" s="13" t="s">
        <v>1631</v>
      </c>
      <c r="W410" s="13"/>
    </row>
    <row r="411" spans="1:23" ht="180" x14ac:dyDescent="0.25">
      <c r="A411" s="13" t="s">
        <v>693</v>
      </c>
      <c r="B411" s="10" t="s">
        <v>1551</v>
      </c>
      <c r="C411" s="10" t="s">
        <v>1182</v>
      </c>
      <c r="D411" s="10" t="s">
        <v>57</v>
      </c>
      <c r="E411" s="13" t="s">
        <v>824</v>
      </c>
      <c r="F411" s="13" t="s">
        <v>1214</v>
      </c>
      <c r="G411" s="13" t="s">
        <v>834</v>
      </c>
      <c r="H411" s="11" t="s">
        <v>65</v>
      </c>
      <c r="I411" s="10" t="s">
        <v>1190</v>
      </c>
      <c r="J411" s="10" t="s">
        <v>56</v>
      </c>
      <c r="L411" s="13" t="s">
        <v>1647</v>
      </c>
      <c r="M411" s="13" t="s">
        <v>1631</v>
      </c>
      <c r="N411" s="13" t="s">
        <v>1640</v>
      </c>
      <c r="O411" s="13" t="s">
        <v>1647</v>
      </c>
      <c r="P411" s="13" t="s">
        <v>1631</v>
      </c>
      <c r="R411" s="13" t="s">
        <v>1647</v>
      </c>
      <c r="S411" s="13" t="s">
        <v>1631</v>
      </c>
      <c r="U411" s="13" t="s">
        <v>1647</v>
      </c>
      <c r="V411" s="13" t="s">
        <v>1631</v>
      </c>
      <c r="W411" s="13"/>
    </row>
    <row r="412" spans="1:23" ht="180" x14ac:dyDescent="0.25">
      <c r="A412" s="13" t="s">
        <v>694</v>
      </c>
      <c r="B412" s="10" t="s">
        <v>1552</v>
      </c>
      <c r="C412" s="10" t="s">
        <v>1182</v>
      </c>
      <c r="D412" s="10" t="s">
        <v>57</v>
      </c>
      <c r="E412" s="13" t="s">
        <v>824</v>
      </c>
      <c r="F412" s="13" t="s">
        <v>1216</v>
      </c>
      <c r="G412" s="13" t="s">
        <v>835</v>
      </c>
      <c r="H412" s="11" t="s">
        <v>65</v>
      </c>
      <c r="I412" s="10" t="s">
        <v>56</v>
      </c>
      <c r="J412" s="10" t="s">
        <v>1217</v>
      </c>
      <c r="L412" s="13" t="s">
        <v>1647</v>
      </c>
      <c r="M412" s="13" t="s">
        <v>1631</v>
      </c>
      <c r="N412" s="13" t="s">
        <v>1640</v>
      </c>
      <c r="O412" s="13" t="s">
        <v>1647</v>
      </c>
      <c r="P412" s="13" t="s">
        <v>1631</v>
      </c>
      <c r="R412" s="13" t="s">
        <v>1647</v>
      </c>
      <c r="S412" s="13" t="s">
        <v>1631</v>
      </c>
      <c r="U412" s="13" t="s">
        <v>1647</v>
      </c>
      <c r="V412" s="13" t="s">
        <v>1631</v>
      </c>
      <c r="W412" s="13"/>
    </row>
    <row r="413" spans="1:23" ht="180" x14ac:dyDescent="0.25">
      <c r="A413" s="13" t="s">
        <v>695</v>
      </c>
      <c r="B413" s="10" t="s">
        <v>1553</v>
      </c>
      <c r="C413" s="10" t="s">
        <v>1182</v>
      </c>
      <c r="D413" s="10" t="s">
        <v>57</v>
      </c>
      <c r="E413" s="13" t="s">
        <v>824</v>
      </c>
      <c r="F413" s="13" t="s">
        <v>1219</v>
      </c>
      <c r="G413" s="13" t="s">
        <v>835</v>
      </c>
      <c r="H413" s="11" t="s">
        <v>65</v>
      </c>
      <c r="I413" s="10" t="s">
        <v>56</v>
      </c>
      <c r="J413" s="10" t="s">
        <v>1220</v>
      </c>
      <c r="L413" s="13" t="s">
        <v>1647</v>
      </c>
      <c r="M413" s="13" t="s">
        <v>1631</v>
      </c>
      <c r="N413" s="13" t="s">
        <v>1640</v>
      </c>
      <c r="O413" s="13" t="s">
        <v>1647</v>
      </c>
      <c r="P413" s="13" t="s">
        <v>1631</v>
      </c>
      <c r="R413" s="13" t="s">
        <v>1647</v>
      </c>
      <c r="S413" s="13" t="s">
        <v>1631</v>
      </c>
      <c r="U413" s="13" t="s">
        <v>1647</v>
      </c>
      <c r="V413" s="13" t="s">
        <v>1631</v>
      </c>
      <c r="W413" s="13"/>
    </row>
    <row r="414" spans="1:23" ht="180" x14ac:dyDescent="0.25">
      <c r="A414" s="13" t="s">
        <v>696</v>
      </c>
      <c r="B414" s="10" t="s">
        <v>1554</v>
      </c>
      <c r="C414" s="10" t="s">
        <v>1182</v>
      </c>
      <c r="D414" s="10" t="s">
        <v>57</v>
      </c>
      <c r="E414" s="13" t="s">
        <v>824</v>
      </c>
      <c r="F414" s="13" t="s">
        <v>1222</v>
      </c>
      <c r="G414" s="13" t="s">
        <v>835</v>
      </c>
      <c r="H414" s="11" t="s">
        <v>65</v>
      </c>
      <c r="I414" s="10" t="s">
        <v>56</v>
      </c>
      <c r="J414" s="10" t="s">
        <v>1223</v>
      </c>
      <c r="L414" s="13" t="s">
        <v>1647</v>
      </c>
      <c r="M414" s="13" t="s">
        <v>1631</v>
      </c>
      <c r="N414" s="13" t="s">
        <v>1640</v>
      </c>
      <c r="O414" s="13" t="s">
        <v>1647</v>
      </c>
      <c r="P414" s="13" t="s">
        <v>1631</v>
      </c>
      <c r="R414" s="13" t="s">
        <v>1647</v>
      </c>
      <c r="S414" s="13" t="s">
        <v>1631</v>
      </c>
      <c r="U414" s="13" t="s">
        <v>1647</v>
      </c>
      <c r="V414" s="13" t="s">
        <v>1631</v>
      </c>
      <c r="W414" s="13"/>
    </row>
    <row r="415" spans="1:23" ht="180" x14ac:dyDescent="0.25">
      <c r="A415" s="13" t="s">
        <v>697</v>
      </c>
      <c r="B415" s="10" t="s">
        <v>1555</v>
      </c>
      <c r="C415" s="10" t="s">
        <v>1182</v>
      </c>
      <c r="D415" s="10" t="s">
        <v>57</v>
      </c>
      <c r="E415" s="13" t="s">
        <v>824</v>
      </c>
      <c r="F415" s="13" t="s">
        <v>1225</v>
      </c>
      <c r="G415" s="13" t="s">
        <v>835</v>
      </c>
      <c r="H415" s="11" t="s">
        <v>65</v>
      </c>
      <c r="I415" s="10" t="s">
        <v>56</v>
      </c>
      <c r="J415" s="10" t="s">
        <v>1226</v>
      </c>
      <c r="L415" s="13" t="s">
        <v>1647</v>
      </c>
      <c r="M415" s="13" t="s">
        <v>1631</v>
      </c>
      <c r="N415" s="13" t="s">
        <v>1640</v>
      </c>
      <c r="O415" s="13" t="s">
        <v>1647</v>
      </c>
      <c r="P415" s="13" t="s">
        <v>1631</v>
      </c>
      <c r="R415" s="13" t="s">
        <v>1647</v>
      </c>
      <c r="S415" s="13" t="s">
        <v>1631</v>
      </c>
      <c r="U415" s="13" t="s">
        <v>1647</v>
      </c>
      <c r="V415" s="13" t="s">
        <v>1631</v>
      </c>
      <c r="W415" s="13"/>
    </row>
    <row r="416" spans="1:23" ht="180" x14ac:dyDescent="0.25">
      <c r="A416" s="13" t="s">
        <v>698</v>
      </c>
      <c r="B416" s="10" t="s">
        <v>1556</v>
      </c>
      <c r="C416" s="10" t="s">
        <v>1182</v>
      </c>
      <c r="D416" s="10" t="s">
        <v>57</v>
      </c>
      <c r="E416" s="13" t="s">
        <v>824</v>
      </c>
      <c r="F416" s="13" t="s">
        <v>1228</v>
      </c>
      <c r="G416" s="13" t="s">
        <v>835</v>
      </c>
      <c r="H416" s="11" t="s">
        <v>65</v>
      </c>
      <c r="I416" s="10" t="s">
        <v>56</v>
      </c>
      <c r="J416" s="10" t="s">
        <v>1229</v>
      </c>
      <c r="L416" s="13" t="s">
        <v>1647</v>
      </c>
      <c r="M416" s="13" t="s">
        <v>1631</v>
      </c>
      <c r="N416" s="13" t="s">
        <v>1640</v>
      </c>
      <c r="O416" s="13" t="s">
        <v>1647</v>
      </c>
      <c r="P416" s="13" t="s">
        <v>1631</v>
      </c>
      <c r="R416" s="13" t="s">
        <v>1647</v>
      </c>
      <c r="S416" s="13" t="s">
        <v>1631</v>
      </c>
      <c r="U416" s="13" t="s">
        <v>1647</v>
      </c>
      <c r="V416" s="13" t="s">
        <v>1631</v>
      </c>
      <c r="W416" s="13"/>
    </row>
    <row r="417" spans="1:23" ht="180" x14ac:dyDescent="0.25">
      <c r="A417" s="13" t="s">
        <v>699</v>
      </c>
      <c r="B417" s="10" t="s">
        <v>1557</v>
      </c>
      <c r="C417" s="10" t="s">
        <v>1182</v>
      </c>
      <c r="D417" s="10" t="s">
        <v>57</v>
      </c>
      <c r="E417" s="13" t="s">
        <v>824</v>
      </c>
      <c r="F417" s="13" t="s">
        <v>1231</v>
      </c>
      <c r="G417" s="13" t="s">
        <v>835</v>
      </c>
      <c r="H417" s="11" t="s">
        <v>65</v>
      </c>
      <c r="I417" s="10" t="s">
        <v>56</v>
      </c>
      <c r="J417" s="10" t="s">
        <v>1232</v>
      </c>
      <c r="L417" s="13" t="s">
        <v>1647</v>
      </c>
      <c r="M417" s="13" t="s">
        <v>1631</v>
      </c>
      <c r="N417" s="13" t="s">
        <v>1640</v>
      </c>
      <c r="O417" s="13" t="s">
        <v>1647</v>
      </c>
      <c r="P417" s="13" t="s">
        <v>1631</v>
      </c>
      <c r="R417" s="13" t="s">
        <v>1647</v>
      </c>
      <c r="S417" s="13" t="s">
        <v>1631</v>
      </c>
      <c r="U417" s="13" t="s">
        <v>1647</v>
      </c>
      <c r="V417" s="13" t="s">
        <v>1631</v>
      </c>
      <c r="W417" s="13"/>
    </row>
    <row r="418" spans="1:23" ht="150" x14ac:dyDescent="0.25">
      <c r="A418" s="13" t="s">
        <v>700</v>
      </c>
      <c r="B418" s="10" t="s">
        <v>1558</v>
      </c>
      <c r="C418" s="10" t="s">
        <v>1182</v>
      </c>
      <c r="D418" s="10" t="s">
        <v>57</v>
      </c>
      <c r="E418" s="13" t="s">
        <v>824</v>
      </c>
      <c r="F418" s="13" t="s">
        <v>1234</v>
      </c>
      <c r="G418" s="13" t="s">
        <v>835</v>
      </c>
      <c r="H418" s="11" t="s">
        <v>65</v>
      </c>
      <c r="I418" s="10" t="s">
        <v>1190</v>
      </c>
      <c r="J418" s="10" t="s">
        <v>56</v>
      </c>
      <c r="L418" s="13" t="s">
        <v>1647</v>
      </c>
      <c r="M418" s="13" t="s">
        <v>1631</v>
      </c>
      <c r="N418" s="13" t="s">
        <v>1640</v>
      </c>
      <c r="O418" s="13" t="s">
        <v>1647</v>
      </c>
      <c r="P418" s="13" t="s">
        <v>1631</v>
      </c>
      <c r="R418" s="13" t="s">
        <v>1647</v>
      </c>
      <c r="S418" s="13" t="s">
        <v>1631</v>
      </c>
      <c r="U418" s="13" t="s">
        <v>1647</v>
      </c>
      <c r="V418" s="13" t="s">
        <v>1631</v>
      </c>
      <c r="W418" s="13"/>
    </row>
    <row r="419" spans="1:23" ht="150" x14ac:dyDescent="0.25">
      <c r="A419" s="13" t="s">
        <v>701</v>
      </c>
      <c r="B419" s="10" t="s">
        <v>1559</v>
      </c>
      <c r="C419" s="10" t="s">
        <v>1182</v>
      </c>
      <c r="D419" s="10" t="s">
        <v>57</v>
      </c>
      <c r="E419" s="13" t="s">
        <v>824</v>
      </c>
      <c r="F419" s="13" t="s">
        <v>1236</v>
      </c>
      <c r="G419" s="13" t="s">
        <v>835</v>
      </c>
      <c r="H419" s="11" t="s">
        <v>65</v>
      </c>
      <c r="I419" s="10" t="s">
        <v>1190</v>
      </c>
      <c r="J419" s="10" t="s">
        <v>56</v>
      </c>
      <c r="L419" s="13" t="s">
        <v>1647</v>
      </c>
      <c r="M419" s="13" t="s">
        <v>1631</v>
      </c>
      <c r="N419" s="13" t="s">
        <v>1640</v>
      </c>
      <c r="O419" s="13" t="s">
        <v>1647</v>
      </c>
      <c r="P419" s="13" t="s">
        <v>1631</v>
      </c>
      <c r="R419" s="13" t="s">
        <v>1647</v>
      </c>
      <c r="S419" s="13" t="s">
        <v>1631</v>
      </c>
      <c r="U419" s="13" t="s">
        <v>1647</v>
      </c>
      <c r="V419" s="13" t="s">
        <v>1631</v>
      </c>
      <c r="W419" s="13"/>
    </row>
    <row r="420" spans="1:23" ht="150" x14ac:dyDescent="0.25">
      <c r="A420" s="13" t="s">
        <v>702</v>
      </c>
      <c r="B420" s="10" t="s">
        <v>1560</v>
      </c>
      <c r="C420" s="10" t="s">
        <v>1182</v>
      </c>
      <c r="D420" s="10" t="s">
        <v>57</v>
      </c>
      <c r="E420" s="13" t="s">
        <v>824</v>
      </c>
      <c r="F420" s="13" t="s">
        <v>1238</v>
      </c>
      <c r="G420" s="13" t="s">
        <v>835</v>
      </c>
      <c r="H420" s="11" t="s">
        <v>65</v>
      </c>
      <c r="I420" s="10" t="s">
        <v>1190</v>
      </c>
      <c r="J420" s="10" t="s">
        <v>56</v>
      </c>
      <c r="L420" s="13" t="s">
        <v>1647</v>
      </c>
      <c r="M420" s="13" t="s">
        <v>1631</v>
      </c>
      <c r="N420" s="13" t="s">
        <v>1640</v>
      </c>
      <c r="O420" s="13" t="s">
        <v>1647</v>
      </c>
      <c r="P420" s="13" t="s">
        <v>1631</v>
      </c>
      <c r="R420" s="13" t="s">
        <v>1647</v>
      </c>
      <c r="S420" s="13" t="s">
        <v>1631</v>
      </c>
      <c r="U420" s="13" t="s">
        <v>1647</v>
      </c>
      <c r="V420" s="13" t="s">
        <v>1631</v>
      </c>
      <c r="W420" s="13"/>
    </row>
    <row r="421" spans="1:23" ht="90" x14ac:dyDescent="0.25">
      <c r="A421" s="13" t="s">
        <v>703</v>
      </c>
      <c r="B421" s="10" t="s">
        <v>1082</v>
      </c>
      <c r="C421" s="10" t="s">
        <v>1182</v>
      </c>
      <c r="D421" s="10" t="s">
        <v>57</v>
      </c>
      <c r="E421" s="13" t="s">
        <v>824</v>
      </c>
      <c r="F421" s="13" t="s">
        <v>847</v>
      </c>
      <c r="G421" s="13" t="s">
        <v>898</v>
      </c>
      <c r="H421" s="11" t="s">
        <v>65</v>
      </c>
      <c r="I421" s="10" t="s">
        <v>1187</v>
      </c>
      <c r="J421" s="10" t="s">
        <v>1619</v>
      </c>
      <c r="L421" s="13" t="s">
        <v>1647</v>
      </c>
      <c r="M421" s="13" t="s">
        <v>1631</v>
      </c>
      <c r="N421" s="13" t="s">
        <v>1640</v>
      </c>
      <c r="O421" s="13" t="s">
        <v>1647</v>
      </c>
      <c r="P421" s="13" t="s">
        <v>1631</v>
      </c>
      <c r="R421" s="13" t="s">
        <v>1647</v>
      </c>
      <c r="S421" s="13" t="s">
        <v>1631</v>
      </c>
      <c r="U421" s="13" t="s">
        <v>1647</v>
      </c>
      <c r="V421" s="13" t="s">
        <v>1631</v>
      </c>
      <c r="W421" s="13"/>
    </row>
    <row r="422" spans="1:23" ht="75" x14ac:dyDescent="0.25">
      <c r="A422" s="13" t="s">
        <v>704</v>
      </c>
      <c r="B422" s="10" t="s">
        <v>1083</v>
      </c>
      <c r="C422" s="10" t="s">
        <v>1182</v>
      </c>
      <c r="D422" s="10" t="s">
        <v>57</v>
      </c>
      <c r="E422" s="13" t="s">
        <v>824</v>
      </c>
      <c r="F422" s="13" t="s">
        <v>847</v>
      </c>
      <c r="G422" s="13" t="s">
        <v>866</v>
      </c>
      <c r="H422" s="11" t="s">
        <v>65</v>
      </c>
      <c r="I422" s="10" t="s">
        <v>1190</v>
      </c>
      <c r="J422" s="10" t="s">
        <v>56</v>
      </c>
      <c r="L422" s="13" t="s">
        <v>1647</v>
      </c>
      <c r="M422" s="13" t="s">
        <v>1631</v>
      </c>
      <c r="N422" s="13" t="s">
        <v>1640</v>
      </c>
      <c r="O422" s="13" t="s">
        <v>1647</v>
      </c>
      <c r="P422" s="13" t="s">
        <v>1631</v>
      </c>
      <c r="R422" s="13" t="s">
        <v>1647</v>
      </c>
      <c r="S422" s="13" t="s">
        <v>1631</v>
      </c>
      <c r="U422" s="13" t="s">
        <v>1647</v>
      </c>
      <c r="V422" s="13" t="s">
        <v>1631</v>
      </c>
      <c r="W422" s="13"/>
    </row>
    <row r="423" spans="1:23" ht="409.5" x14ac:dyDescent="0.25">
      <c r="A423" s="13" t="s">
        <v>705</v>
      </c>
      <c r="B423" s="10" t="s">
        <v>1084</v>
      </c>
      <c r="C423" s="10" t="s">
        <v>1182</v>
      </c>
      <c r="D423" s="10" t="s">
        <v>57</v>
      </c>
      <c r="E423" s="13" t="s">
        <v>858</v>
      </c>
      <c r="F423" s="13" t="s">
        <v>870</v>
      </c>
      <c r="G423" s="13" t="s">
        <v>902</v>
      </c>
      <c r="H423" s="11" t="s">
        <v>65</v>
      </c>
      <c r="I423" s="10" t="s">
        <v>1188</v>
      </c>
      <c r="J423" s="10" t="s">
        <v>871</v>
      </c>
      <c r="L423" s="13" t="s">
        <v>1647</v>
      </c>
      <c r="M423" s="13" t="s">
        <v>1631</v>
      </c>
      <c r="N423" s="13" t="s">
        <v>1640</v>
      </c>
      <c r="O423" s="13" t="s">
        <v>1647</v>
      </c>
      <c r="P423" s="13" t="s">
        <v>1631</v>
      </c>
      <c r="R423" s="13" t="s">
        <v>1647</v>
      </c>
      <c r="S423" s="13" t="s">
        <v>1631</v>
      </c>
      <c r="U423" s="13" t="s">
        <v>1647</v>
      </c>
      <c r="V423" s="13" t="s">
        <v>1631</v>
      </c>
      <c r="W423" s="13"/>
    </row>
    <row r="424" spans="1:23" ht="210" x14ac:dyDescent="0.25">
      <c r="A424" s="13" t="s">
        <v>706</v>
      </c>
      <c r="B424" s="10" t="s">
        <v>1085</v>
      </c>
      <c r="C424" s="10" t="s">
        <v>1182</v>
      </c>
      <c r="D424" s="10" t="s">
        <v>57</v>
      </c>
      <c r="E424" s="13" t="s">
        <v>824</v>
      </c>
      <c r="F424" s="13" t="s">
        <v>872</v>
      </c>
      <c r="G424" s="13" t="s">
        <v>922</v>
      </c>
      <c r="H424" s="11" t="s">
        <v>65</v>
      </c>
      <c r="I424" s="10" t="s">
        <v>56</v>
      </c>
      <c r="J424" s="10" t="s">
        <v>1183</v>
      </c>
      <c r="L424" s="13" t="s">
        <v>1647</v>
      </c>
      <c r="M424" s="13" t="s">
        <v>1631</v>
      </c>
      <c r="N424" s="13" t="s">
        <v>1640</v>
      </c>
      <c r="O424" s="13" t="s">
        <v>1647</v>
      </c>
      <c r="P424" s="13" t="s">
        <v>1631</v>
      </c>
      <c r="R424" s="13" t="s">
        <v>1647</v>
      </c>
      <c r="S424" s="13" t="s">
        <v>1631</v>
      </c>
      <c r="U424" s="13" t="s">
        <v>1647</v>
      </c>
      <c r="V424" s="13" t="s">
        <v>1631</v>
      </c>
      <c r="W424" s="13"/>
    </row>
    <row r="425" spans="1:23" ht="180" x14ac:dyDescent="0.25">
      <c r="A425" s="13" t="s">
        <v>707</v>
      </c>
      <c r="B425" s="10" t="s">
        <v>1086</v>
      </c>
      <c r="C425" s="10" t="s">
        <v>1182</v>
      </c>
      <c r="D425" s="10" t="s">
        <v>57</v>
      </c>
      <c r="E425" s="13" t="s">
        <v>824</v>
      </c>
      <c r="F425" s="13" t="s">
        <v>870</v>
      </c>
      <c r="G425" s="13" t="s">
        <v>922</v>
      </c>
      <c r="H425" s="11" t="s">
        <v>65</v>
      </c>
      <c r="I425" s="10" t="s">
        <v>56</v>
      </c>
      <c r="J425" s="10" t="s">
        <v>1184</v>
      </c>
      <c r="L425" s="13" t="s">
        <v>1647</v>
      </c>
      <c r="M425" s="13" t="s">
        <v>1631</v>
      </c>
      <c r="N425" s="13" t="s">
        <v>1640</v>
      </c>
      <c r="O425" s="13" t="s">
        <v>1647</v>
      </c>
      <c r="P425" s="13" t="s">
        <v>1631</v>
      </c>
      <c r="R425" s="13" t="s">
        <v>1647</v>
      </c>
      <c r="S425" s="13" t="s">
        <v>1631</v>
      </c>
      <c r="U425" s="13" t="s">
        <v>1647</v>
      </c>
      <c r="V425" s="13" t="s">
        <v>1631</v>
      </c>
      <c r="W425" s="13"/>
    </row>
    <row r="426" spans="1:23" ht="165" x14ac:dyDescent="0.25">
      <c r="A426" s="13" t="s">
        <v>708</v>
      </c>
      <c r="B426" s="10" t="s">
        <v>1087</v>
      </c>
      <c r="C426" s="10" t="s">
        <v>1182</v>
      </c>
      <c r="D426" s="10" t="s">
        <v>57</v>
      </c>
      <c r="E426" s="13" t="s">
        <v>824</v>
      </c>
      <c r="F426" s="13" t="s">
        <v>879</v>
      </c>
      <c r="G426" s="13" t="s">
        <v>922</v>
      </c>
      <c r="H426" s="11" t="s">
        <v>65</v>
      </c>
      <c r="I426" s="10" t="s">
        <v>1187</v>
      </c>
      <c r="J426" s="10" t="s">
        <v>56</v>
      </c>
      <c r="L426" s="13" t="s">
        <v>1647</v>
      </c>
      <c r="M426" s="13" t="s">
        <v>1631</v>
      </c>
      <c r="N426" s="13" t="s">
        <v>1640</v>
      </c>
      <c r="O426" s="13" t="s">
        <v>1647</v>
      </c>
      <c r="P426" s="13" t="s">
        <v>1631</v>
      </c>
      <c r="R426" s="13" t="s">
        <v>1647</v>
      </c>
      <c r="S426" s="13" t="s">
        <v>1631</v>
      </c>
      <c r="U426" s="13" t="s">
        <v>1647</v>
      </c>
      <c r="V426" s="13" t="s">
        <v>1631</v>
      </c>
      <c r="W426" s="13"/>
    </row>
    <row r="427" spans="1:23" ht="165" x14ac:dyDescent="0.25">
      <c r="A427" s="13" t="s">
        <v>709</v>
      </c>
      <c r="B427" s="10" t="s">
        <v>1088</v>
      </c>
      <c r="C427" s="10" t="s">
        <v>1182</v>
      </c>
      <c r="D427" s="10" t="s">
        <v>57</v>
      </c>
      <c r="E427" s="13" t="s">
        <v>824</v>
      </c>
      <c r="F427" s="13" t="s">
        <v>880</v>
      </c>
      <c r="G427" s="13" t="s">
        <v>922</v>
      </c>
      <c r="H427" s="11" t="s">
        <v>65</v>
      </c>
      <c r="I427" s="10" t="s">
        <v>1187</v>
      </c>
      <c r="J427" s="10" t="s">
        <v>56</v>
      </c>
      <c r="L427" s="13" t="s">
        <v>1647</v>
      </c>
      <c r="M427" s="13" t="s">
        <v>1631</v>
      </c>
      <c r="N427" s="13" t="s">
        <v>1640</v>
      </c>
      <c r="O427" s="13" t="s">
        <v>1647</v>
      </c>
      <c r="P427" s="13" t="s">
        <v>1631</v>
      </c>
      <c r="R427" s="13" t="s">
        <v>1647</v>
      </c>
      <c r="S427" s="13" t="s">
        <v>1631</v>
      </c>
      <c r="U427" s="13" t="s">
        <v>1647</v>
      </c>
      <c r="V427" s="13" t="s">
        <v>1631</v>
      </c>
      <c r="W427" s="13"/>
    </row>
    <row r="428" spans="1:23" ht="135" x14ac:dyDescent="0.25">
      <c r="A428" s="13" t="s">
        <v>710</v>
      </c>
      <c r="B428" s="10" t="s">
        <v>1089</v>
      </c>
      <c r="C428" s="10" t="s">
        <v>1182</v>
      </c>
      <c r="D428" s="10" t="s">
        <v>57</v>
      </c>
      <c r="E428" s="13" t="s">
        <v>824</v>
      </c>
      <c r="F428" s="13" t="s">
        <v>881</v>
      </c>
      <c r="G428" s="13" t="s">
        <v>922</v>
      </c>
      <c r="H428" s="11" t="s">
        <v>65</v>
      </c>
      <c r="I428" s="10" t="s">
        <v>1187</v>
      </c>
      <c r="J428" s="10" t="s">
        <v>56</v>
      </c>
      <c r="L428" s="13" t="s">
        <v>1647</v>
      </c>
      <c r="M428" s="13" t="s">
        <v>1631</v>
      </c>
      <c r="N428" s="13" t="s">
        <v>1640</v>
      </c>
      <c r="O428" s="13" t="s">
        <v>1647</v>
      </c>
      <c r="P428" s="13" t="s">
        <v>1631</v>
      </c>
      <c r="R428" s="13" t="s">
        <v>1647</v>
      </c>
      <c r="S428" s="13" t="s">
        <v>1631</v>
      </c>
      <c r="U428" s="13" t="s">
        <v>1647</v>
      </c>
      <c r="V428" s="13" t="s">
        <v>1631</v>
      </c>
      <c r="W428" s="13"/>
    </row>
    <row r="429" spans="1:23" ht="135" x14ac:dyDescent="0.25">
      <c r="A429" s="13" t="s">
        <v>711</v>
      </c>
      <c r="B429" s="10" t="s">
        <v>1090</v>
      </c>
      <c r="C429" s="10" t="s">
        <v>1182</v>
      </c>
      <c r="D429" s="10" t="s">
        <v>57</v>
      </c>
      <c r="E429" s="13" t="s">
        <v>824</v>
      </c>
      <c r="F429" s="13" t="s">
        <v>882</v>
      </c>
      <c r="G429" s="13" t="s">
        <v>922</v>
      </c>
      <c r="H429" s="11" t="s">
        <v>65</v>
      </c>
      <c r="I429" s="10" t="s">
        <v>1187</v>
      </c>
      <c r="J429" s="10" t="s">
        <v>56</v>
      </c>
      <c r="L429" s="13" t="s">
        <v>1647</v>
      </c>
      <c r="M429" s="13" t="s">
        <v>1631</v>
      </c>
      <c r="N429" s="13" t="s">
        <v>1640</v>
      </c>
      <c r="O429" s="13" t="s">
        <v>1647</v>
      </c>
      <c r="P429" s="13" t="s">
        <v>1631</v>
      </c>
      <c r="R429" s="13" t="s">
        <v>1647</v>
      </c>
      <c r="S429" s="13" t="s">
        <v>1631</v>
      </c>
      <c r="U429" s="13" t="s">
        <v>1647</v>
      </c>
      <c r="V429" s="13" t="s">
        <v>1631</v>
      </c>
      <c r="W429" s="13"/>
    </row>
    <row r="430" spans="1:23" ht="105" x14ac:dyDescent="0.25">
      <c r="A430" s="13" t="s">
        <v>712</v>
      </c>
      <c r="B430" s="10" t="s">
        <v>1561</v>
      </c>
      <c r="C430" s="10" t="s">
        <v>1182</v>
      </c>
      <c r="D430" s="10" t="s">
        <v>57</v>
      </c>
      <c r="E430" s="13" t="s">
        <v>825</v>
      </c>
      <c r="F430" s="13" t="s">
        <v>1133</v>
      </c>
      <c r="G430" s="13" t="s">
        <v>1199</v>
      </c>
      <c r="H430" s="11" t="s">
        <v>65</v>
      </c>
      <c r="I430" s="10" t="s">
        <v>1187</v>
      </c>
      <c r="J430" s="10" t="s">
        <v>56</v>
      </c>
      <c r="L430" s="13" t="s">
        <v>1647</v>
      </c>
      <c r="M430" s="13" t="s">
        <v>1631</v>
      </c>
      <c r="N430" s="13" t="s">
        <v>1640</v>
      </c>
      <c r="O430" s="13" t="s">
        <v>1647</v>
      </c>
      <c r="P430" s="13" t="s">
        <v>1631</v>
      </c>
      <c r="R430" s="13" t="s">
        <v>1647</v>
      </c>
      <c r="S430" s="13" t="s">
        <v>1631</v>
      </c>
      <c r="U430" s="13" t="s">
        <v>1647</v>
      </c>
      <c r="V430" s="13" t="s">
        <v>1631</v>
      </c>
      <c r="W430" s="13"/>
    </row>
    <row r="431" spans="1:23" ht="105" x14ac:dyDescent="0.25">
      <c r="A431" s="13" t="s">
        <v>713</v>
      </c>
      <c r="B431" s="10" t="s">
        <v>1562</v>
      </c>
      <c r="C431" s="10" t="s">
        <v>1182</v>
      </c>
      <c r="D431" s="10" t="s">
        <v>57</v>
      </c>
      <c r="E431" s="13" t="s">
        <v>825</v>
      </c>
      <c r="F431" s="13" t="s">
        <v>1134</v>
      </c>
      <c r="G431" s="13" t="s">
        <v>1201</v>
      </c>
      <c r="H431" s="11" t="s">
        <v>65</v>
      </c>
      <c r="I431" s="10" t="s">
        <v>1187</v>
      </c>
      <c r="J431" s="10" t="s">
        <v>1202</v>
      </c>
      <c r="L431" s="13" t="s">
        <v>1647</v>
      </c>
      <c r="M431" s="13" t="s">
        <v>1631</v>
      </c>
      <c r="N431" s="13" t="s">
        <v>1640</v>
      </c>
      <c r="O431" s="13" t="s">
        <v>1647</v>
      </c>
      <c r="P431" s="13" t="s">
        <v>1631</v>
      </c>
      <c r="R431" s="13" t="s">
        <v>1647</v>
      </c>
      <c r="S431" s="13" t="s">
        <v>1631</v>
      </c>
      <c r="U431" s="13" t="s">
        <v>1647</v>
      </c>
      <c r="V431" s="13" t="s">
        <v>1631</v>
      </c>
      <c r="W431" s="13"/>
    </row>
    <row r="432" spans="1:23" ht="105" x14ac:dyDescent="0.25">
      <c r="A432" s="13" t="s">
        <v>714</v>
      </c>
      <c r="B432" s="10" t="s">
        <v>1563</v>
      </c>
      <c r="C432" s="10" t="s">
        <v>1182</v>
      </c>
      <c r="D432" s="10" t="s">
        <v>57</v>
      </c>
      <c r="E432" s="13" t="s">
        <v>825</v>
      </c>
      <c r="F432" s="13" t="s">
        <v>1135</v>
      </c>
      <c r="G432" s="13" t="s">
        <v>1204</v>
      </c>
      <c r="H432" s="11" t="s">
        <v>65</v>
      </c>
      <c r="I432" s="10" t="s">
        <v>1187</v>
      </c>
      <c r="J432" s="10" t="s">
        <v>56</v>
      </c>
      <c r="L432" s="13" t="s">
        <v>1647</v>
      </c>
      <c r="M432" s="13" t="s">
        <v>1631</v>
      </c>
      <c r="N432" s="13" t="s">
        <v>1640</v>
      </c>
      <c r="O432" s="13" t="s">
        <v>1647</v>
      </c>
      <c r="P432" s="13" t="s">
        <v>1631</v>
      </c>
      <c r="R432" s="13" t="s">
        <v>1647</v>
      </c>
      <c r="S432" s="13" t="s">
        <v>1631</v>
      </c>
      <c r="U432" s="13" t="s">
        <v>1647</v>
      </c>
      <c r="V432" s="13" t="s">
        <v>1631</v>
      </c>
      <c r="W432" s="13"/>
    </row>
    <row r="433" spans="1:23" ht="105" x14ac:dyDescent="0.25">
      <c r="A433" s="13" t="s">
        <v>715</v>
      </c>
      <c r="B433" s="10" t="s">
        <v>1564</v>
      </c>
      <c r="C433" s="10" t="s">
        <v>1182</v>
      </c>
      <c r="D433" s="10" t="s">
        <v>57</v>
      </c>
      <c r="E433" s="13" t="s">
        <v>825</v>
      </c>
      <c r="F433" s="13" t="s">
        <v>1136</v>
      </c>
      <c r="G433" s="13" t="s">
        <v>1206</v>
      </c>
      <c r="H433" s="11" t="s">
        <v>65</v>
      </c>
      <c r="I433" s="10" t="s">
        <v>1187</v>
      </c>
      <c r="J433" s="10" t="s">
        <v>1207</v>
      </c>
      <c r="L433" s="13" t="s">
        <v>1647</v>
      </c>
      <c r="M433" s="13" t="s">
        <v>1631</v>
      </c>
      <c r="N433" s="13" t="s">
        <v>1640</v>
      </c>
      <c r="O433" s="13" t="s">
        <v>1647</v>
      </c>
      <c r="P433" s="13" t="s">
        <v>1631</v>
      </c>
      <c r="R433" s="13" t="s">
        <v>1647</v>
      </c>
      <c r="S433" s="13" t="s">
        <v>1631</v>
      </c>
      <c r="U433" s="13" t="s">
        <v>1647</v>
      </c>
      <c r="V433" s="13" t="s">
        <v>1631</v>
      </c>
      <c r="W433" s="13"/>
    </row>
    <row r="434" spans="1:23" ht="105" x14ac:dyDescent="0.25">
      <c r="A434" s="13" t="s">
        <v>716</v>
      </c>
      <c r="B434" s="10" t="s">
        <v>1565</v>
      </c>
      <c r="C434" s="10" t="s">
        <v>1182</v>
      </c>
      <c r="D434" s="10" t="s">
        <v>57</v>
      </c>
      <c r="E434" s="13" t="s">
        <v>825</v>
      </c>
      <c r="F434" s="13" t="s">
        <v>1137</v>
      </c>
      <c r="G434" s="13" t="s">
        <v>1209</v>
      </c>
      <c r="H434" s="11" t="s">
        <v>65</v>
      </c>
      <c r="I434" s="10" t="s">
        <v>1187</v>
      </c>
      <c r="J434" s="10" t="s">
        <v>56</v>
      </c>
      <c r="L434" s="13" t="s">
        <v>1647</v>
      </c>
      <c r="M434" s="13" t="s">
        <v>1631</v>
      </c>
      <c r="N434" s="13" t="s">
        <v>1640</v>
      </c>
      <c r="O434" s="13" t="s">
        <v>1647</v>
      </c>
      <c r="P434" s="13" t="s">
        <v>1631</v>
      </c>
      <c r="R434" s="13" t="s">
        <v>1647</v>
      </c>
      <c r="S434" s="13" t="s">
        <v>1631</v>
      </c>
      <c r="U434" s="13" t="s">
        <v>1647</v>
      </c>
      <c r="V434" s="13" t="s">
        <v>1631</v>
      </c>
      <c r="W434" s="13"/>
    </row>
    <row r="435" spans="1:23" ht="105" x14ac:dyDescent="0.25">
      <c r="A435" s="13" t="s">
        <v>717</v>
      </c>
      <c r="B435" s="10" t="s">
        <v>1566</v>
      </c>
      <c r="C435" s="10" t="s">
        <v>1182</v>
      </c>
      <c r="D435" s="10" t="s">
        <v>57</v>
      </c>
      <c r="E435" s="13" t="s">
        <v>825</v>
      </c>
      <c r="F435" s="13" t="s">
        <v>1138</v>
      </c>
      <c r="G435" s="13" t="s">
        <v>1211</v>
      </c>
      <c r="H435" s="11" t="s">
        <v>65</v>
      </c>
      <c r="I435" s="10" t="s">
        <v>1187</v>
      </c>
      <c r="J435" s="10" t="s">
        <v>1212</v>
      </c>
      <c r="L435" s="13" t="s">
        <v>1647</v>
      </c>
      <c r="M435" s="13" t="s">
        <v>1631</v>
      </c>
      <c r="N435" s="13" t="s">
        <v>1640</v>
      </c>
      <c r="O435" s="13" t="s">
        <v>1647</v>
      </c>
      <c r="P435" s="13" t="s">
        <v>1631</v>
      </c>
      <c r="R435" s="13" t="s">
        <v>1647</v>
      </c>
      <c r="S435" s="13" t="s">
        <v>1631</v>
      </c>
      <c r="U435" s="13" t="s">
        <v>1647</v>
      </c>
      <c r="V435" s="13" t="s">
        <v>1631</v>
      </c>
      <c r="W435" s="13"/>
    </row>
    <row r="436" spans="1:23" ht="180" x14ac:dyDescent="0.25">
      <c r="A436" s="13" t="s">
        <v>718</v>
      </c>
      <c r="B436" s="10" t="s">
        <v>1567</v>
      </c>
      <c r="C436" s="10" t="s">
        <v>1182</v>
      </c>
      <c r="D436" s="10" t="s">
        <v>57</v>
      </c>
      <c r="E436" s="13" t="s">
        <v>825</v>
      </c>
      <c r="F436" s="13" t="s">
        <v>1214</v>
      </c>
      <c r="G436" s="13" t="s">
        <v>834</v>
      </c>
      <c r="H436" s="11" t="s">
        <v>65</v>
      </c>
      <c r="I436" s="10" t="s">
        <v>1190</v>
      </c>
      <c r="J436" s="10" t="s">
        <v>56</v>
      </c>
      <c r="L436" s="13" t="s">
        <v>1647</v>
      </c>
      <c r="M436" s="13" t="s">
        <v>1631</v>
      </c>
      <c r="N436" s="13" t="s">
        <v>1640</v>
      </c>
      <c r="O436" s="13" t="s">
        <v>1647</v>
      </c>
      <c r="P436" s="13" t="s">
        <v>1631</v>
      </c>
      <c r="R436" s="13" t="s">
        <v>1647</v>
      </c>
      <c r="S436" s="13" t="s">
        <v>1631</v>
      </c>
      <c r="U436" s="13" t="s">
        <v>1647</v>
      </c>
      <c r="V436" s="13" t="s">
        <v>1631</v>
      </c>
      <c r="W436" s="13"/>
    </row>
    <row r="437" spans="1:23" ht="180" x14ac:dyDescent="0.25">
      <c r="A437" s="13" t="s">
        <v>719</v>
      </c>
      <c r="B437" s="10" t="s">
        <v>1568</v>
      </c>
      <c r="C437" s="10" t="s">
        <v>1182</v>
      </c>
      <c r="D437" s="10" t="s">
        <v>57</v>
      </c>
      <c r="E437" s="13" t="s">
        <v>825</v>
      </c>
      <c r="F437" s="13" t="s">
        <v>1216</v>
      </c>
      <c r="G437" s="13" t="s">
        <v>835</v>
      </c>
      <c r="H437" s="11" t="s">
        <v>65</v>
      </c>
      <c r="I437" s="10" t="s">
        <v>56</v>
      </c>
      <c r="J437" s="10" t="s">
        <v>1217</v>
      </c>
      <c r="L437" s="13" t="s">
        <v>1647</v>
      </c>
      <c r="M437" s="13" t="s">
        <v>1631</v>
      </c>
      <c r="N437" s="13" t="s">
        <v>1640</v>
      </c>
      <c r="O437" s="13" t="s">
        <v>1647</v>
      </c>
      <c r="P437" s="13" t="s">
        <v>1631</v>
      </c>
      <c r="R437" s="13" t="s">
        <v>1647</v>
      </c>
      <c r="S437" s="13" t="s">
        <v>1631</v>
      </c>
      <c r="U437" s="13" t="s">
        <v>1647</v>
      </c>
      <c r="V437" s="13" t="s">
        <v>1631</v>
      </c>
      <c r="W437" s="13"/>
    </row>
    <row r="438" spans="1:23" ht="180" x14ac:dyDescent="0.25">
      <c r="A438" s="13" t="s">
        <v>720</v>
      </c>
      <c r="B438" s="10" t="s">
        <v>1569</v>
      </c>
      <c r="C438" s="10" t="s">
        <v>1182</v>
      </c>
      <c r="D438" s="10" t="s">
        <v>57</v>
      </c>
      <c r="E438" s="13" t="s">
        <v>825</v>
      </c>
      <c r="F438" s="13" t="s">
        <v>1219</v>
      </c>
      <c r="G438" s="13" t="s">
        <v>835</v>
      </c>
      <c r="H438" s="11" t="s">
        <v>65</v>
      </c>
      <c r="I438" s="10" t="s">
        <v>56</v>
      </c>
      <c r="J438" s="10" t="s">
        <v>1220</v>
      </c>
      <c r="L438" s="13" t="s">
        <v>1647</v>
      </c>
      <c r="M438" s="13" t="s">
        <v>1631</v>
      </c>
      <c r="N438" s="13" t="s">
        <v>1640</v>
      </c>
      <c r="O438" s="13" t="s">
        <v>1647</v>
      </c>
      <c r="P438" s="13" t="s">
        <v>1631</v>
      </c>
      <c r="R438" s="13" t="s">
        <v>1647</v>
      </c>
      <c r="S438" s="13" t="s">
        <v>1631</v>
      </c>
      <c r="U438" s="13" t="s">
        <v>1647</v>
      </c>
      <c r="V438" s="13" t="s">
        <v>1631</v>
      </c>
      <c r="W438" s="13"/>
    </row>
    <row r="439" spans="1:23" ht="180" x14ac:dyDescent="0.25">
      <c r="A439" s="13" t="s">
        <v>721</v>
      </c>
      <c r="B439" s="10" t="s">
        <v>1570</v>
      </c>
      <c r="C439" s="10" t="s">
        <v>1182</v>
      </c>
      <c r="D439" s="10" t="s">
        <v>57</v>
      </c>
      <c r="E439" s="13" t="s">
        <v>825</v>
      </c>
      <c r="F439" s="13" t="s">
        <v>1222</v>
      </c>
      <c r="G439" s="13" t="s">
        <v>835</v>
      </c>
      <c r="H439" s="11" t="s">
        <v>65</v>
      </c>
      <c r="I439" s="10" t="s">
        <v>56</v>
      </c>
      <c r="J439" s="10" t="s">
        <v>1223</v>
      </c>
      <c r="L439" s="13" t="s">
        <v>1647</v>
      </c>
      <c r="M439" s="13" t="s">
        <v>1631</v>
      </c>
      <c r="N439" s="13" t="s">
        <v>1640</v>
      </c>
      <c r="O439" s="13" t="s">
        <v>1647</v>
      </c>
      <c r="P439" s="13" t="s">
        <v>1631</v>
      </c>
      <c r="R439" s="13" t="s">
        <v>1647</v>
      </c>
      <c r="S439" s="13" t="s">
        <v>1631</v>
      </c>
      <c r="U439" s="13" t="s">
        <v>1647</v>
      </c>
      <c r="V439" s="13" t="s">
        <v>1631</v>
      </c>
      <c r="W439" s="13"/>
    </row>
    <row r="440" spans="1:23" ht="180" x14ac:dyDescent="0.25">
      <c r="A440" s="13" t="s">
        <v>722</v>
      </c>
      <c r="B440" s="10" t="s">
        <v>1571</v>
      </c>
      <c r="C440" s="10" t="s">
        <v>1182</v>
      </c>
      <c r="D440" s="10" t="s">
        <v>57</v>
      </c>
      <c r="E440" s="13" t="s">
        <v>825</v>
      </c>
      <c r="F440" s="13" t="s">
        <v>1225</v>
      </c>
      <c r="G440" s="13" t="s">
        <v>835</v>
      </c>
      <c r="H440" s="11" t="s">
        <v>65</v>
      </c>
      <c r="I440" s="10" t="s">
        <v>56</v>
      </c>
      <c r="J440" s="10" t="s">
        <v>1226</v>
      </c>
      <c r="L440" s="13" t="s">
        <v>1647</v>
      </c>
      <c r="M440" s="13" t="s">
        <v>1631</v>
      </c>
      <c r="N440" s="13" t="s">
        <v>1640</v>
      </c>
      <c r="O440" s="13" t="s">
        <v>1647</v>
      </c>
      <c r="P440" s="13" t="s">
        <v>1631</v>
      </c>
      <c r="R440" s="13" t="s">
        <v>1647</v>
      </c>
      <c r="S440" s="13" t="s">
        <v>1631</v>
      </c>
      <c r="U440" s="13" t="s">
        <v>1647</v>
      </c>
      <c r="V440" s="13" t="s">
        <v>1631</v>
      </c>
      <c r="W440" s="13"/>
    </row>
    <row r="441" spans="1:23" ht="180" x14ac:dyDescent="0.25">
      <c r="A441" s="13" t="s">
        <v>723</v>
      </c>
      <c r="B441" s="10" t="s">
        <v>1572</v>
      </c>
      <c r="C441" s="10" t="s">
        <v>1182</v>
      </c>
      <c r="D441" s="10" t="s">
        <v>57</v>
      </c>
      <c r="E441" s="13" t="s">
        <v>825</v>
      </c>
      <c r="F441" s="13" t="s">
        <v>1228</v>
      </c>
      <c r="G441" s="13" t="s">
        <v>835</v>
      </c>
      <c r="H441" s="11" t="s">
        <v>65</v>
      </c>
      <c r="I441" s="10" t="s">
        <v>56</v>
      </c>
      <c r="J441" s="10" t="s">
        <v>1229</v>
      </c>
      <c r="L441" s="13" t="s">
        <v>1647</v>
      </c>
      <c r="M441" s="13" t="s">
        <v>1631</v>
      </c>
      <c r="N441" s="13" t="s">
        <v>1640</v>
      </c>
      <c r="O441" s="13" t="s">
        <v>1647</v>
      </c>
      <c r="P441" s="13" t="s">
        <v>1631</v>
      </c>
      <c r="R441" s="13" t="s">
        <v>1647</v>
      </c>
      <c r="S441" s="13" t="s">
        <v>1631</v>
      </c>
      <c r="U441" s="13" t="s">
        <v>1647</v>
      </c>
      <c r="V441" s="13" t="s">
        <v>1631</v>
      </c>
      <c r="W441" s="13"/>
    </row>
    <row r="442" spans="1:23" ht="180" x14ac:dyDescent="0.25">
      <c r="A442" s="13" t="s">
        <v>724</v>
      </c>
      <c r="B442" s="10" t="s">
        <v>1573</v>
      </c>
      <c r="C442" s="10" t="s">
        <v>1182</v>
      </c>
      <c r="D442" s="10" t="s">
        <v>57</v>
      </c>
      <c r="E442" s="13" t="s">
        <v>825</v>
      </c>
      <c r="F442" s="13" t="s">
        <v>1231</v>
      </c>
      <c r="G442" s="13" t="s">
        <v>835</v>
      </c>
      <c r="H442" s="11" t="s">
        <v>65</v>
      </c>
      <c r="I442" s="10" t="s">
        <v>56</v>
      </c>
      <c r="J442" s="10" t="s">
        <v>1232</v>
      </c>
      <c r="L442" s="13" t="s">
        <v>1647</v>
      </c>
      <c r="M442" s="13" t="s">
        <v>1631</v>
      </c>
      <c r="N442" s="13" t="s">
        <v>1640</v>
      </c>
      <c r="O442" s="13" t="s">
        <v>1647</v>
      </c>
      <c r="P442" s="13" t="s">
        <v>1631</v>
      </c>
      <c r="R442" s="13" t="s">
        <v>1647</v>
      </c>
      <c r="S442" s="13" t="s">
        <v>1631</v>
      </c>
      <c r="U442" s="13" t="s">
        <v>1647</v>
      </c>
      <c r="V442" s="13" t="s">
        <v>1631</v>
      </c>
      <c r="W442" s="13"/>
    </row>
    <row r="443" spans="1:23" ht="150" x14ac:dyDescent="0.25">
      <c r="A443" s="13" t="s">
        <v>725</v>
      </c>
      <c r="B443" s="10" t="s">
        <v>1574</v>
      </c>
      <c r="C443" s="10" t="s">
        <v>1182</v>
      </c>
      <c r="D443" s="10" t="s">
        <v>57</v>
      </c>
      <c r="E443" s="13" t="s">
        <v>825</v>
      </c>
      <c r="F443" s="13" t="s">
        <v>1234</v>
      </c>
      <c r="G443" s="13" t="s">
        <v>835</v>
      </c>
      <c r="H443" s="11" t="s">
        <v>65</v>
      </c>
      <c r="I443" s="10" t="s">
        <v>1190</v>
      </c>
      <c r="J443" s="10" t="s">
        <v>56</v>
      </c>
      <c r="L443" s="13" t="s">
        <v>1647</v>
      </c>
      <c r="M443" s="13" t="s">
        <v>1631</v>
      </c>
      <c r="N443" s="13" t="s">
        <v>1640</v>
      </c>
      <c r="O443" s="13" t="s">
        <v>1647</v>
      </c>
      <c r="P443" s="13" t="s">
        <v>1631</v>
      </c>
      <c r="R443" s="13" t="s">
        <v>1647</v>
      </c>
      <c r="S443" s="13" t="s">
        <v>1631</v>
      </c>
      <c r="U443" s="13" t="s">
        <v>1647</v>
      </c>
      <c r="V443" s="13" t="s">
        <v>1631</v>
      </c>
      <c r="W443" s="13"/>
    </row>
    <row r="444" spans="1:23" ht="150" x14ac:dyDescent="0.25">
      <c r="A444" s="13" t="s">
        <v>726</v>
      </c>
      <c r="B444" s="10" t="s">
        <v>1575</v>
      </c>
      <c r="C444" s="10" t="s">
        <v>1182</v>
      </c>
      <c r="D444" s="10" t="s">
        <v>57</v>
      </c>
      <c r="E444" s="13" t="s">
        <v>825</v>
      </c>
      <c r="F444" s="13" t="s">
        <v>1236</v>
      </c>
      <c r="G444" s="13" t="s">
        <v>835</v>
      </c>
      <c r="H444" s="11" t="s">
        <v>65</v>
      </c>
      <c r="I444" s="10" t="s">
        <v>1190</v>
      </c>
      <c r="J444" s="10" t="s">
        <v>56</v>
      </c>
      <c r="L444" s="13" t="s">
        <v>1647</v>
      </c>
      <c r="M444" s="13" t="s">
        <v>1631</v>
      </c>
      <c r="N444" s="13" t="s">
        <v>1640</v>
      </c>
      <c r="O444" s="13" t="s">
        <v>1647</v>
      </c>
      <c r="P444" s="13" t="s">
        <v>1631</v>
      </c>
      <c r="R444" s="13" t="s">
        <v>1647</v>
      </c>
      <c r="S444" s="13" t="s">
        <v>1631</v>
      </c>
      <c r="U444" s="13" t="s">
        <v>1647</v>
      </c>
      <c r="V444" s="13" t="s">
        <v>1631</v>
      </c>
      <c r="W444" s="13"/>
    </row>
    <row r="445" spans="1:23" ht="150" x14ac:dyDescent="0.25">
      <c r="A445" s="13" t="s">
        <v>727</v>
      </c>
      <c r="B445" s="10" t="s">
        <v>1576</v>
      </c>
      <c r="C445" s="10" t="s">
        <v>1182</v>
      </c>
      <c r="D445" s="10" t="s">
        <v>57</v>
      </c>
      <c r="E445" s="13" t="s">
        <v>825</v>
      </c>
      <c r="F445" s="13" t="s">
        <v>1238</v>
      </c>
      <c r="G445" s="13" t="s">
        <v>835</v>
      </c>
      <c r="H445" s="11" t="s">
        <v>65</v>
      </c>
      <c r="I445" s="10" t="s">
        <v>1190</v>
      </c>
      <c r="J445" s="10" t="s">
        <v>56</v>
      </c>
      <c r="L445" s="13" t="s">
        <v>1647</v>
      </c>
      <c r="M445" s="13" t="s">
        <v>1631</v>
      </c>
      <c r="N445" s="13" t="s">
        <v>1640</v>
      </c>
      <c r="O445" s="13" t="s">
        <v>1647</v>
      </c>
      <c r="P445" s="13" t="s">
        <v>1631</v>
      </c>
      <c r="R445" s="13" t="s">
        <v>1647</v>
      </c>
      <c r="S445" s="13" t="s">
        <v>1631</v>
      </c>
      <c r="U445" s="13" t="s">
        <v>1647</v>
      </c>
      <c r="V445" s="13" t="s">
        <v>1631</v>
      </c>
      <c r="W445" s="13"/>
    </row>
    <row r="446" spans="1:23" ht="90" x14ac:dyDescent="0.25">
      <c r="A446" s="13" t="s">
        <v>728</v>
      </c>
      <c r="B446" s="10" t="s">
        <v>1091</v>
      </c>
      <c r="C446" s="10" t="s">
        <v>1182</v>
      </c>
      <c r="D446" s="10" t="s">
        <v>57</v>
      </c>
      <c r="E446" s="13" t="s">
        <v>825</v>
      </c>
      <c r="F446" s="13" t="s">
        <v>847</v>
      </c>
      <c r="G446" s="13" t="s">
        <v>898</v>
      </c>
      <c r="H446" s="11" t="s">
        <v>65</v>
      </c>
      <c r="I446" s="10" t="s">
        <v>1187</v>
      </c>
      <c r="J446" s="10" t="s">
        <v>1619</v>
      </c>
      <c r="L446" s="13" t="s">
        <v>1647</v>
      </c>
      <c r="M446" s="13" t="s">
        <v>1631</v>
      </c>
      <c r="N446" s="13" t="s">
        <v>1640</v>
      </c>
      <c r="O446" s="13" t="s">
        <v>1647</v>
      </c>
      <c r="P446" s="13" t="s">
        <v>1631</v>
      </c>
      <c r="R446" s="13" t="s">
        <v>1647</v>
      </c>
      <c r="S446" s="13" t="s">
        <v>1631</v>
      </c>
      <c r="U446" s="13" t="s">
        <v>1647</v>
      </c>
      <c r="V446" s="13" t="s">
        <v>1631</v>
      </c>
      <c r="W446" s="13"/>
    </row>
    <row r="447" spans="1:23" ht="75" x14ac:dyDescent="0.25">
      <c r="A447" s="13" t="s">
        <v>729</v>
      </c>
      <c r="B447" s="10" t="s">
        <v>1092</v>
      </c>
      <c r="C447" s="10" t="s">
        <v>1182</v>
      </c>
      <c r="D447" s="10" t="s">
        <v>57</v>
      </c>
      <c r="E447" s="13" t="s">
        <v>825</v>
      </c>
      <c r="F447" s="13" t="s">
        <v>847</v>
      </c>
      <c r="G447" s="13" t="s">
        <v>866</v>
      </c>
      <c r="H447" s="11" t="s">
        <v>65</v>
      </c>
      <c r="I447" s="10" t="s">
        <v>1190</v>
      </c>
      <c r="J447" s="10" t="s">
        <v>56</v>
      </c>
      <c r="L447" s="13" t="s">
        <v>1647</v>
      </c>
      <c r="M447" s="13" t="s">
        <v>1631</v>
      </c>
      <c r="N447" s="13" t="s">
        <v>1640</v>
      </c>
      <c r="O447" s="13" t="s">
        <v>1647</v>
      </c>
      <c r="P447" s="13" t="s">
        <v>1631</v>
      </c>
      <c r="R447" s="13" t="s">
        <v>1647</v>
      </c>
      <c r="S447" s="13" t="s">
        <v>1631</v>
      </c>
      <c r="U447" s="13" t="s">
        <v>1647</v>
      </c>
      <c r="V447" s="13" t="s">
        <v>1631</v>
      </c>
      <c r="W447" s="13"/>
    </row>
    <row r="448" spans="1:23" ht="409.5" x14ac:dyDescent="0.25">
      <c r="A448" s="13" t="s">
        <v>730</v>
      </c>
      <c r="B448" s="10" t="s">
        <v>1093</v>
      </c>
      <c r="C448" s="10" t="s">
        <v>1182</v>
      </c>
      <c r="D448" s="10" t="s">
        <v>57</v>
      </c>
      <c r="E448" s="13" t="s">
        <v>859</v>
      </c>
      <c r="F448" s="13" t="s">
        <v>870</v>
      </c>
      <c r="G448" s="13" t="s">
        <v>903</v>
      </c>
      <c r="H448" s="11" t="s">
        <v>65</v>
      </c>
      <c r="I448" s="10" t="s">
        <v>1188</v>
      </c>
      <c r="J448" s="10" t="s">
        <v>871</v>
      </c>
      <c r="L448" s="13" t="s">
        <v>1647</v>
      </c>
      <c r="M448" s="13" t="s">
        <v>1631</v>
      </c>
      <c r="N448" s="13" t="s">
        <v>1640</v>
      </c>
      <c r="O448" s="13" t="s">
        <v>1647</v>
      </c>
      <c r="P448" s="13" t="s">
        <v>1631</v>
      </c>
      <c r="R448" s="13" t="s">
        <v>1647</v>
      </c>
      <c r="S448" s="13" t="s">
        <v>1631</v>
      </c>
      <c r="U448" s="13" t="s">
        <v>1647</v>
      </c>
      <c r="V448" s="13" t="s">
        <v>1631</v>
      </c>
      <c r="W448" s="13"/>
    </row>
    <row r="449" spans="1:23" ht="210" x14ac:dyDescent="0.25">
      <c r="A449" s="13" t="s">
        <v>731</v>
      </c>
      <c r="B449" s="10" t="s">
        <v>1094</v>
      </c>
      <c r="C449" s="10" t="s">
        <v>1182</v>
      </c>
      <c r="D449" s="10" t="s">
        <v>57</v>
      </c>
      <c r="E449" s="13" t="s">
        <v>825</v>
      </c>
      <c r="F449" s="13" t="s">
        <v>872</v>
      </c>
      <c r="G449" s="13" t="s">
        <v>922</v>
      </c>
      <c r="H449" s="11" t="s">
        <v>65</v>
      </c>
      <c r="I449" s="10" t="s">
        <v>56</v>
      </c>
      <c r="J449" s="10" t="s">
        <v>1183</v>
      </c>
      <c r="L449" s="13" t="s">
        <v>1647</v>
      </c>
      <c r="M449" s="13" t="s">
        <v>1631</v>
      </c>
      <c r="N449" s="13" t="s">
        <v>1640</v>
      </c>
      <c r="O449" s="13" t="s">
        <v>1647</v>
      </c>
      <c r="P449" s="13" t="s">
        <v>1631</v>
      </c>
      <c r="R449" s="13" t="s">
        <v>1647</v>
      </c>
      <c r="S449" s="13" t="s">
        <v>1631</v>
      </c>
      <c r="U449" s="13" t="s">
        <v>1647</v>
      </c>
      <c r="V449" s="13" t="s">
        <v>1631</v>
      </c>
      <c r="W449" s="13"/>
    </row>
    <row r="450" spans="1:23" ht="180" x14ac:dyDescent="0.25">
      <c r="A450" s="13" t="s">
        <v>732</v>
      </c>
      <c r="B450" s="10" t="s">
        <v>1095</v>
      </c>
      <c r="C450" s="10" t="s">
        <v>1182</v>
      </c>
      <c r="D450" s="10" t="s">
        <v>57</v>
      </c>
      <c r="E450" s="13" t="s">
        <v>825</v>
      </c>
      <c r="F450" s="13" t="s">
        <v>870</v>
      </c>
      <c r="G450" s="13" t="s">
        <v>922</v>
      </c>
      <c r="H450" s="11" t="s">
        <v>65</v>
      </c>
      <c r="I450" s="10" t="s">
        <v>56</v>
      </c>
      <c r="J450" s="10" t="s">
        <v>1184</v>
      </c>
      <c r="L450" s="13" t="s">
        <v>1647</v>
      </c>
      <c r="M450" s="13" t="s">
        <v>1631</v>
      </c>
      <c r="N450" s="13" t="s">
        <v>1640</v>
      </c>
      <c r="O450" s="13" t="s">
        <v>1647</v>
      </c>
      <c r="P450" s="13" t="s">
        <v>1631</v>
      </c>
      <c r="R450" s="13" t="s">
        <v>1647</v>
      </c>
      <c r="S450" s="13" t="s">
        <v>1631</v>
      </c>
      <c r="U450" s="13" t="s">
        <v>1647</v>
      </c>
      <c r="V450" s="13" t="s">
        <v>1631</v>
      </c>
      <c r="W450" s="13"/>
    </row>
    <row r="451" spans="1:23" ht="165" x14ac:dyDescent="0.25">
      <c r="A451" s="13" t="s">
        <v>733</v>
      </c>
      <c r="B451" s="10" t="s">
        <v>1096</v>
      </c>
      <c r="C451" s="10" t="s">
        <v>1182</v>
      </c>
      <c r="D451" s="10" t="s">
        <v>57</v>
      </c>
      <c r="E451" s="13" t="s">
        <v>825</v>
      </c>
      <c r="F451" s="13" t="s">
        <v>879</v>
      </c>
      <c r="G451" s="13" t="s">
        <v>922</v>
      </c>
      <c r="H451" s="11" t="s">
        <v>65</v>
      </c>
      <c r="I451" s="10" t="s">
        <v>1187</v>
      </c>
      <c r="J451" s="10" t="s">
        <v>56</v>
      </c>
      <c r="L451" s="13" t="s">
        <v>1647</v>
      </c>
      <c r="M451" s="13" t="s">
        <v>1631</v>
      </c>
      <c r="N451" s="13" t="s">
        <v>1640</v>
      </c>
      <c r="O451" s="13" t="s">
        <v>1647</v>
      </c>
      <c r="P451" s="13" t="s">
        <v>1631</v>
      </c>
      <c r="R451" s="13" t="s">
        <v>1647</v>
      </c>
      <c r="S451" s="13" t="s">
        <v>1631</v>
      </c>
      <c r="U451" s="13" t="s">
        <v>1647</v>
      </c>
      <c r="V451" s="13" t="s">
        <v>1631</v>
      </c>
      <c r="W451" s="13"/>
    </row>
    <row r="452" spans="1:23" ht="165" x14ac:dyDescent="0.25">
      <c r="A452" s="13" t="s">
        <v>734</v>
      </c>
      <c r="B452" s="10" t="s">
        <v>1097</v>
      </c>
      <c r="C452" s="10" t="s">
        <v>1182</v>
      </c>
      <c r="D452" s="10" t="s">
        <v>57</v>
      </c>
      <c r="E452" s="13" t="s">
        <v>825</v>
      </c>
      <c r="F452" s="13" t="s">
        <v>880</v>
      </c>
      <c r="G452" s="13" t="s">
        <v>922</v>
      </c>
      <c r="H452" s="11" t="s">
        <v>65</v>
      </c>
      <c r="I452" s="10" t="s">
        <v>1187</v>
      </c>
      <c r="J452" s="10" t="s">
        <v>56</v>
      </c>
      <c r="L452" s="13" t="s">
        <v>1647</v>
      </c>
      <c r="M452" s="13" t="s">
        <v>1631</v>
      </c>
      <c r="N452" s="13" t="s">
        <v>1640</v>
      </c>
      <c r="O452" s="13" t="s">
        <v>1647</v>
      </c>
      <c r="P452" s="13" t="s">
        <v>1631</v>
      </c>
      <c r="R452" s="13" t="s">
        <v>1647</v>
      </c>
      <c r="S452" s="13" t="s">
        <v>1631</v>
      </c>
      <c r="U452" s="13" t="s">
        <v>1647</v>
      </c>
      <c r="V452" s="13" t="s">
        <v>1631</v>
      </c>
      <c r="W452" s="13"/>
    </row>
    <row r="453" spans="1:23" ht="135" x14ac:dyDescent="0.25">
      <c r="A453" s="13" t="s">
        <v>735</v>
      </c>
      <c r="B453" s="10" t="s">
        <v>1098</v>
      </c>
      <c r="C453" s="10" t="s">
        <v>1182</v>
      </c>
      <c r="D453" s="10" t="s">
        <v>57</v>
      </c>
      <c r="E453" s="13" t="s">
        <v>825</v>
      </c>
      <c r="F453" s="13" t="s">
        <v>881</v>
      </c>
      <c r="G453" s="13" t="s">
        <v>922</v>
      </c>
      <c r="H453" s="11" t="s">
        <v>65</v>
      </c>
      <c r="I453" s="10" t="s">
        <v>1187</v>
      </c>
      <c r="J453" s="10" t="s">
        <v>56</v>
      </c>
      <c r="L453" s="13" t="s">
        <v>1647</v>
      </c>
      <c r="M453" s="13" t="s">
        <v>1631</v>
      </c>
      <c r="N453" s="13" t="s">
        <v>1640</v>
      </c>
      <c r="O453" s="13" t="s">
        <v>1647</v>
      </c>
      <c r="P453" s="13" t="s">
        <v>1631</v>
      </c>
      <c r="R453" s="13" t="s">
        <v>1647</v>
      </c>
      <c r="S453" s="13" t="s">
        <v>1631</v>
      </c>
      <c r="U453" s="13" t="s">
        <v>1647</v>
      </c>
      <c r="V453" s="13" t="s">
        <v>1631</v>
      </c>
      <c r="W453" s="13"/>
    </row>
    <row r="454" spans="1:23" ht="135" x14ac:dyDescent="0.25">
      <c r="A454" s="13" t="s">
        <v>736</v>
      </c>
      <c r="B454" s="10" t="s">
        <v>1099</v>
      </c>
      <c r="C454" s="10" t="s">
        <v>1182</v>
      </c>
      <c r="D454" s="10" t="s">
        <v>57</v>
      </c>
      <c r="E454" s="13" t="s">
        <v>825</v>
      </c>
      <c r="F454" s="13" t="s">
        <v>882</v>
      </c>
      <c r="G454" s="13" t="s">
        <v>922</v>
      </c>
      <c r="H454" s="11" t="s">
        <v>65</v>
      </c>
      <c r="I454" s="10" t="s">
        <v>1187</v>
      </c>
      <c r="J454" s="10" t="s">
        <v>56</v>
      </c>
      <c r="L454" s="13" t="s">
        <v>1647</v>
      </c>
      <c r="M454" s="13" t="s">
        <v>1631</v>
      </c>
      <c r="N454" s="13" t="s">
        <v>1640</v>
      </c>
      <c r="O454" s="13" t="s">
        <v>1647</v>
      </c>
      <c r="P454" s="13" t="s">
        <v>1631</v>
      </c>
      <c r="R454" s="13" t="s">
        <v>1647</v>
      </c>
      <c r="S454" s="13" t="s">
        <v>1631</v>
      </c>
      <c r="U454" s="13" t="s">
        <v>1647</v>
      </c>
      <c r="V454" s="13" t="s">
        <v>1631</v>
      </c>
      <c r="W454" s="13"/>
    </row>
    <row r="455" spans="1:23" ht="105" x14ac:dyDescent="0.25">
      <c r="A455" s="13" t="s">
        <v>737</v>
      </c>
      <c r="B455" s="10" t="s">
        <v>1577</v>
      </c>
      <c r="C455" s="10" t="s">
        <v>1182</v>
      </c>
      <c r="D455" s="10" t="s">
        <v>57</v>
      </c>
      <c r="E455" s="13" t="s">
        <v>828</v>
      </c>
      <c r="F455" s="13" t="s">
        <v>1133</v>
      </c>
      <c r="G455" s="13" t="s">
        <v>1199</v>
      </c>
      <c r="H455" s="11" t="s">
        <v>65</v>
      </c>
      <c r="I455" s="10" t="s">
        <v>1187</v>
      </c>
      <c r="J455" s="10" t="s">
        <v>56</v>
      </c>
      <c r="L455" s="13" t="s">
        <v>1647</v>
      </c>
      <c r="M455" s="13" t="s">
        <v>1631</v>
      </c>
      <c r="N455" s="13" t="s">
        <v>1640</v>
      </c>
      <c r="O455" s="13" t="s">
        <v>1647</v>
      </c>
      <c r="P455" s="13" t="s">
        <v>1631</v>
      </c>
      <c r="R455" s="13" t="s">
        <v>1647</v>
      </c>
      <c r="S455" s="13" t="s">
        <v>1631</v>
      </c>
      <c r="U455" s="13" t="s">
        <v>1647</v>
      </c>
      <c r="V455" s="13" t="s">
        <v>1631</v>
      </c>
      <c r="W455" s="13"/>
    </row>
    <row r="456" spans="1:23" ht="105" x14ac:dyDescent="0.25">
      <c r="A456" s="13" t="s">
        <v>738</v>
      </c>
      <c r="B456" s="10" t="s">
        <v>1578</v>
      </c>
      <c r="C456" s="10" t="s">
        <v>1182</v>
      </c>
      <c r="D456" s="10" t="s">
        <v>57</v>
      </c>
      <c r="E456" s="13" t="s">
        <v>828</v>
      </c>
      <c r="F456" s="13" t="s">
        <v>1134</v>
      </c>
      <c r="G456" s="13" t="s">
        <v>1201</v>
      </c>
      <c r="H456" s="11" t="s">
        <v>65</v>
      </c>
      <c r="I456" s="10" t="s">
        <v>1187</v>
      </c>
      <c r="J456" s="10" t="s">
        <v>1202</v>
      </c>
      <c r="L456" s="13" t="s">
        <v>1647</v>
      </c>
      <c r="M456" s="13" t="s">
        <v>1631</v>
      </c>
      <c r="N456" s="13" t="s">
        <v>1640</v>
      </c>
      <c r="O456" s="13" t="s">
        <v>1647</v>
      </c>
      <c r="P456" s="13" t="s">
        <v>1631</v>
      </c>
      <c r="R456" s="13" t="s">
        <v>1647</v>
      </c>
      <c r="S456" s="13" t="s">
        <v>1631</v>
      </c>
      <c r="U456" s="13" t="s">
        <v>1647</v>
      </c>
      <c r="V456" s="13" t="s">
        <v>1631</v>
      </c>
      <c r="W456" s="13"/>
    </row>
    <row r="457" spans="1:23" ht="105" x14ac:dyDescent="0.25">
      <c r="A457" s="13" t="s">
        <v>739</v>
      </c>
      <c r="B457" s="10" t="s">
        <v>1579</v>
      </c>
      <c r="C457" s="10" t="s">
        <v>1182</v>
      </c>
      <c r="D457" s="10" t="s">
        <v>57</v>
      </c>
      <c r="E457" s="13" t="s">
        <v>828</v>
      </c>
      <c r="F457" s="13" t="s">
        <v>1135</v>
      </c>
      <c r="G457" s="13" t="s">
        <v>1204</v>
      </c>
      <c r="H457" s="11" t="s">
        <v>65</v>
      </c>
      <c r="I457" s="10" t="s">
        <v>1187</v>
      </c>
      <c r="J457" s="10" t="s">
        <v>56</v>
      </c>
      <c r="L457" s="13" t="s">
        <v>1647</v>
      </c>
      <c r="M457" s="13" t="s">
        <v>1631</v>
      </c>
      <c r="N457" s="13" t="s">
        <v>1640</v>
      </c>
      <c r="O457" s="13" t="s">
        <v>1647</v>
      </c>
      <c r="P457" s="13" t="s">
        <v>1631</v>
      </c>
      <c r="R457" s="13" t="s">
        <v>1647</v>
      </c>
      <c r="S457" s="13" t="s">
        <v>1631</v>
      </c>
      <c r="U457" s="13" t="s">
        <v>1647</v>
      </c>
      <c r="V457" s="13" t="s">
        <v>1631</v>
      </c>
      <c r="W457" s="13"/>
    </row>
    <row r="458" spans="1:23" ht="105" x14ac:dyDescent="0.25">
      <c r="A458" s="13" t="s">
        <v>740</v>
      </c>
      <c r="B458" s="10" t="s">
        <v>1580</v>
      </c>
      <c r="C458" s="10" t="s">
        <v>1182</v>
      </c>
      <c r="D458" s="10" t="s">
        <v>57</v>
      </c>
      <c r="E458" s="13" t="s">
        <v>828</v>
      </c>
      <c r="F458" s="13" t="s">
        <v>1136</v>
      </c>
      <c r="G458" s="13" t="s">
        <v>1206</v>
      </c>
      <c r="H458" s="11" t="s">
        <v>65</v>
      </c>
      <c r="I458" s="10" t="s">
        <v>1187</v>
      </c>
      <c r="J458" s="10" t="s">
        <v>1207</v>
      </c>
      <c r="L458" s="13" t="s">
        <v>1647</v>
      </c>
      <c r="M458" s="13" t="s">
        <v>1631</v>
      </c>
      <c r="N458" s="13" t="s">
        <v>1640</v>
      </c>
      <c r="O458" s="13" t="s">
        <v>1647</v>
      </c>
      <c r="P458" s="13" t="s">
        <v>1631</v>
      </c>
      <c r="R458" s="13" t="s">
        <v>1647</v>
      </c>
      <c r="S458" s="13" t="s">
        <v>1631</v>
      </c>
      <c r="U458" s="13" t="s">
        <v>1647</v>
      </c>
      <c r="V458" s="13" t="s">
        <v>1631</v>
      </c>
      <c r="W458" s="13"/>
    </row>
    <row r="459" spans="1:23" ht="105" x14ac:dyDescent="0.25">
      <c r="A459" s="13" t="s">
        <v>741</v>
      </c>
      <c r="B459" s="10" t="s">
        <v>1581</v>
      </c>
      <c r="C459" s="10" t="s">
        <v>1182</v>
      </c>
      <c r="D459" s="10" t="s">
        <v>57</v>
      </c>
      <c r="E459" s="13" t="s">
        <v>828</v>
      </c>
      <c r="F459" s="13" t="s">
        <v>1137</v>
      </c>
      <c r="G459" s="13" t="s">
        <v>1209</v>
      </c>
      <c r="H459" s="11" t="s">
        <v>65</v>
      </c>
      <c r="I459" s="10" t="s">
        <v>1187</v>
      </c>
      <c r="J459" s="10" t="s">
        <v>56</v>
      </c>
      <c r="L459" s="13" t="s">
        <v>1647</v>
      </c>
      <c r="M459" s="13" t="s">
        <v>1631</v>
      </c>
      <c r="N459" s="13" t="s">
        <v>1640</v>
      </c>
      <c r="O459" s="13" t="s">
        <v>1647</v>
      </c>
      <c r="P459" s="13" t="s">
        <v>1631</v>
      </c>
      <c r="R459" s="13" t="s">
        <v>1647</v>
      </c>
      <c r="S459" s="13" t="s">
        <v>1631</v>
      </c>
      <c r="U459" s="13" t="s">
        <v>1647</v>
      </c>
      <c r="V459" s="13" t="s">
        <v>1631</v>
      </c>
      <c r="W459" s="13"/>
    </row>
    <row r="460" spans="1:23" ht="105" x14ac:dyDescent="0.25">
      <c r="A460" s="13" t="s">
        <v>742</v>
      </c>
      <c r="B460" s="10" t="s">
        <v>1582</v>
      </c>
      <c r="C460" s="10" t="s">
        <v>1182</v>
      </c>
      <c r="D460" s="10" t="s">
        <v>57</v>
      </c>
      <c r="E460" s="13" t="s">
        <v>828</v>
      </c>
      <c r="F460" s="13" t="s">
        <v>1138</v>
      </c>
      <c r="G460" s="13" t="s">
        <v>1211</v>
      </c>
      <c r="H460" s="11" t="s">
        <v>65</v>
      </c>
      <c r="I460" s="10" t="s">
        <v>1187</v>
      </c>
      <c r="J460" s="10" t="s">
        <v>1212</v>
      </c>
      <c r="L460" s="13" t="s">
        <v>1647</v>
      </c>
      <c r="M460" s="13" t="s">
        <v>1631</v>
      </c>
      <c r="N460" s="13" t="s">
        <v>1640</v>
      </c>
      <c r="O460" s="13" t="s">
        <v>1647</v>
      </c>
      <c r="P460" s="13" t="s">
        <v>1631</v>
      </c>
      <c r="R460" s="13" t="s">
        <v>1647</v>
      </c>
      <c r="S460" s="13" t="s">
        <v>1631</v>
      </c>
      <c r="U460" s="13" t="s">
        <v>1647</v>
      </c>
      <c r="V460" s="13" t="s">
        <v>1631</v>
      </c>
      <c r="W460" s="13"/>
    </row>
    <row r="461" spans="1:23" ht="180" x14ac:dyDescent="0.25">
      <c r="A461" s="13" t="s">
        <v>743</v>
      </c>
      <c r="B461" s="10" t="s">
        <v>1583</v>
      </c>
      <c r="C461" s="10" t="s">
        <v>1182</v>
      </c>
      <c r="D461" s="10" t="s">
        <v>57</v>
      </c>
      <c r="E461" s="13" t="s">
        <v>828</v>
      </c>
      <c r="F461" s="13" t="s">
        <v>1214</v>
      </c>
      <c r="G461" s="13" t="s">
        <v>834</v>
      </c>
      <c r="H461" s="11" t="s">
        <v>65</v>
      </c>
      <c r="I461" s="10" t="s">
        <v>1190</v>
      </c>
      <c r="J461" s="10" t="s">
        <v>56</v>
      </c>
      <c r="L461" s="13" t="s">
        <v>1647</v>
      </c>
      <c r="M461" s="13" t="s">
        <v>1631</v>
      </c>
      <c r="N461" s="13" t="s">
        <v>1640</v>
      </c>
      <c r="O461" s="13" t="s">
        <v>1647</v>
      </c>
      <c r="P461" s="13" t="s">
        <v>1631</v>
      </c>
      <c r="R461" s="13" t="s">
        <v>1647</v>
      </c>
      <c r="S461" s="13" t="s">
        <v>1631</v>
      </c>
      <c r="U461" s="13" t="s">
        <v>1647</v>
      </c>
      <c r="V461" s="13" t="s">
        <v>1631</v>
      </c>
      <c r="W461" s="13"/>
    </row>
    <row r="462" spans="1:23" ht="180" x14ac:dyDescent="0.25">
      <c r="A462" s="13" t="s">
        <v>744</v>
      </c>
      <c r="B462" s="10" t="s">
        <v>1584</v>
      </c>
      <c r="C462" s="10" t="s">
        <v>1182</v>
      </c>
      <c r="D462" s="10" t="s">
        <v>57</v>
      </c>
      <c r="E462" s="13" t="s">
        <v>828</v>
      </c>
      <c r="F462" s="13" t="s">
        <v>1216</v>
      </c>
      <c r="G462" s="13" t="s">
        <v>835</v>
      </c>
      <c r="H462" s="11" t="s">
        <v>65</v>
      </c>
      <c r="I462" s="10" t="s">
        <v>56</v>
      </c>
      <c r="J462" s="10" t="s">
        <v>1217</v>
      </c>
      <c r="L462" s="13" t="s">
        <v>1647</v>
      </c>
      <c r="M462" s="13" t="s">
        <v>1631</v>
      </c>
      <c r="N462" s="13" t="s">
        <v>1640</v>
      </c>
      <c r="O462" s="13" t="s">
        <v>1647</v>
      </c>
      <c r="P462" s="13" t="s">
        <v>1631</v>
      </c>
      <c r="R462" s="13" t="s">
        <v>1647</v>
      </c>
      <c r="S462" s="13" t="s">
        <v>1631</v>
      </c>
      <c r="U462" s="13" t="s">
        <v>1647</v>
      </c>
      <c r="V462" s="13" t="s">
        <v>1631</v>
      </c>
      <c r="W462" s="13"/>
    </row>
    <row r="463" spans="1:23" ht="180" x14ac:dyDescent="0.25">
      <c r="A463" s="13" t="s">
        <v>745</v>
      </c>
      <c r="B463" s="10" t="s">
        <v>1585</v>
      </c>
      <c r="C463" s="10" t="s">
        <v>1182</v>
      </c>
      <c r="D463" s="10" t="s">
        <v>57</v>
      </c>
      <c r="E463" s="13" t="s">
        <v>828</v>
      </c>
      <c r="F463" s="13" t="s">
        <v>1219</v>
      </c>
      <c r="G463" s="13" t="s">
        <v>835</v>
      </c>
      <c r="H463" s="11" t="s">
        <v>65</v>
      </c>
      <c r="I463" s="10" t="s">
        <v>56</v>
      </c>
      <c r="J463" s="10" t="s">
        <v>1220</v>
      </c>
      <c r="L463" s="13" t="s">
        <v>1647</v>
      </c>
      <c r="M463" s="13" t="s">
        <v>1631</v>
      </c>
      <c r="N463" s="13" t="s">
        <v>1640</v>
      </c>
      <c r="O463" s="13" t="s">
        <v>1647</v>
      </c>
      <c r="P463" s="13" t="s">
        <v>1631</v>
      </c>
      <c r="R463" s="13" t="s">
        <v>1647</v>
      </c>
      <c r="S463" s="13" t="s">
        <v>1631</v>
      </c>
      <c r="U463" s="13" t="s">
        <v>1647</v>
      </c>
      <c r="V463" s="13" t="s">
        <v>1631</v>
      </c>
      <c r="W463" s="13"/>
    </row>
    <row r="464" spans="1:23" ht="180" x14ac:dyDescent="0.25">
      <c r="A464" s="13" t="s">
        <v>746</v>
      </c>
      <c r="B464" s="10" t="s">
        <v>1586</v>
      </c>
      <c r="C464" s="10" t="s">
        <v>1182</v>
      </c>
      <c r="D464" s="10" t="s">
        <v>57</v>
      </c>
      <c r="E464" s="13" t="s">
        <v>828</v>
      </c>
      <c r="F464" s="13" t="s">
        <v>1222</v>
      </c>
      <c r="G464" s="13" t="s">
        <v>835</v>
      </c>
      <c r="H464" s="11" t="s">
        <v>65</v>
      </c>
      <c r="I464" s="10" t="s">
        <v>56</v>
      </c>
      <c r="J464" s="10" t="s">
        <v>1223</v>
      </c>
      <c r="L464" s="13" t="s">
        <v>1647</v>
      </c>
      <c r="M464" s="13" t="s">
        <v>1631</v>
      </c>
      <c r="N464" s="13" t="s">
        <v>1640</v>
      </c>
      <c r="O464" s="13" t="s">
        <v>1647</v>
      </c>
      <c r="P464" s="13" t="s">
        <v>1631</v>
      </c>
      <c r="R464" s="13" t="s">
        <v>1647</v>
      </c>
      <c r="S464" s="13" t="s">
        <v>1631</v>
      </c>
      <c r="U464" s="13" t="s">
        <v>1647</v>
      </c>
      <c r="V464" s="13" t="s">
        <v>1631</v>
      </c>
      <c r="W464" s="13"/>
    </row>
    <row r="465" spans="1:23" ht="180" x14ac:dyDescent="0.25">
      <c r="A465" s="13" t="s">
        <v>747</v>
      </c>
      <c r="B465" s="10" t="s">
        <v>1587</v>
      </c>
      <c r="C465" s="10" t="s">
        <v>1182</v>
      </c>
      <c r="D465" s="10" t="s">
        <v>57</v>
      </c>
      <c r="E465" s="13" t="s">
        <v>828</v>
      </c>
      <c r="F465" s="13" t="s">
        <v>1225</v>
      </c>
      <c r="G465" s="13" t="s">
        <v>835</v>
      </c>
      <c r="H465" s="11" t="s">
        <v>65</v>
      </c>
      <c r="I465" s="10" t="s">
        <v>56</v>
      </c>
      <c r="J465" s="10" t="s">
        <v>1226</v>
      </c>
      <c r="L465" s="13" t="s">
        <v>1647</v>
      </c>
      <c r="M465" s="13" t="s">
        <v>1631</v>
      </c>
      <c r="N465" s="13" t="s">
        <v>1640</v>
      </c>
      <c r="O465" s="13" t="s">
        <v>1647</v>
      </c>
      <c r="P465" s="13" t="s">
        <v>1631</v>
      </c>
      <c r="R465" s="13" t="s">
        <v>1647</v>
      </c>
      <c r="S465" s="13" t="s">
        <v>1631</v>
      </c>
      <c r="U465" s="13" t="s">
        <v>1647</v>
      </c>
      <c r="V465" s="13" t="s">
        <v>1631</v>
      </c>
      <c r="W465" s="13"/>
    </row>
    <row r="466" spans="1:23" ht="180" x14ac:dyDescent="0.25">
      <c r="A466" s="13" t="s">
        <v>748</v>
      </c>
      <c r="B466" s="10" t="s">
        <v>1588</v>
      </c>
      <c r="C466" s="10" t="s">
        <v>1182</v>
      </c>
      <c r="D466" s="10" t="s">
        <v>57</v>
      </c>
      <c r="E466" s="13" t="s">
        <v>828</v>
      </c>
      <c r="F466" s="13" t="s">
        <v>1228</v>
      </c>
      <c r="G466" s="13" t="s">
        <v>835</v>
      </c>
      <c r="H466" s="11" t="s">
        <v>65</v>
      </c>
      <c r="I466" s="10" t="s">
        <v>56</v>
      </c>
      <c r="J466" s="10" t="s">
        <v>1229</v>
      </c>
      <c r="L466" s="13" t="s">
        <v>1647</v>
      </c>
      <c r="M466" s="13" t="s">
        <v>1631</v>
      </c>
      <c r="N466" s="13" t="s">
        <v>1640</v>
      </c>
      <c r="O466" s="13" t="s">
        <v>1647</v>
      </c>
      <c r="P466" s="13" t="s">
        <v>1631</v>
      </c>
      <c r="R466" s="13" t="s">
        <v>1647</v>
      </c>
      <c r="S466" s="13" t="s">
        <v>1631</v>
      </c>
      <c r="U466" s="13" t="s">
        <v>1647</v>
      </c>
      <c r="V466" s="13" t="s">
        <v>1631</v>
      </c>
      <c r="W466" s="13"/>
    </row>
    <row r="467" spans="1:23" ht="180" x14ac:dyDescent="0.25">
      <c r="A467" s="13" t="s">
        <v>749</v>
      </c>
      <c r="B467" s="10" t="s">
        <v>1589</v>
      </c>
      <c r="C467" s="10" t="s">
        <v>1182</v>
      </c>
      <c r="D467" s="10" t="s">
        <v>57</v>
      </c>
      <c r="E467" s="13" t="s">
        <v>828</v>
      </c>
      <c r="F467" s="13" t="s">
        <v>1231</v>
      </c>
      <c r="G467" s="13" t="s">
        <v>835</v>
      </c>
      <c r="H467" s="11" t="s">
        <v>65</v>
      </c>
      <c r="I467" s="10" t="s">
        <v>56</v>
      </c>
      <c r="J467" s="10" t="s">
        <v>1232</v>
      </c>
      <c r="L467" s="13" t="s">
        <v>1647</v>
      </c>
      <c r="M467" s="13" t="s">
        <v>1631</v>
      </c>
      <c r="N467" s="13" t="s">
        <v>1640</v>
      </c>
      <c r="O467" s="13" t="s">
        <v>1647</v>
      </c>
      <c r="P467" s="13" t="s">
        <v>1631</v>
      </c>
      <c r="R467" s="13" t="s">
        <v>1647</v>
      </c>
      <c r="S467" s="13" t="s">
        <v>1631</v>
      </c>
      <c r="U467" s="13" t="s">
        <v>1647</v>
      </c>
      <c r="V467" s="13" t="s">
        <v>1631</v>
      </c>
      <c r="W467" s="13"/>
    </row>
    <row r="468" spans="1:23" ht="150" x14ac:dyDescent="0.25">
      <c r="A468" s="13" t="s">
        <v>750</v>
      </c>
      <c r="B468" s="10" t="s">
        <v>1590</v>
      </c>
      <c r="C468" s="10" t="s">
        <v>1182</v>
      </c>
      <c r="D468" s="10" t="s">
        <v>57</v>
      </c>
      <c r="E468" s="13" t="s">
        <v>828</v>
      </c>
      <c r="F468" s="13" t="s">
        <v>1234</v>
      </c>
      <c r="G468" s="13" t="s">
        <v>835</v>
      </c>
      <c r="H468" s="11" t="s">
        <v>65</v>
      </c>
      <c r="I468" s="10" t="s">
        <v>1190</v>
      </c>
      <c r="J468" s="10" t="s">
        <v>56</v>
      </c>
      <c r="L468" s="13" t="s">
        <v>1647</v>
      </c>
      <c r="M468" s="13" t="s">
        <v>1631</v>
      </c>
      <c r="N468" s="13" t="s">
        <v>1640</v>
      </c>
      <c r="O468" s="13" t="s">
        <v>1647</v>
      </c>
      <c r="P468" s="13" t="s">
        <v>1631</v>
      </c>
      <c r="R468" s="13" t="s">
        <v>1647</v>
      </c>
      <c r="S468" s="13" t="s">
        <v>1631</v>
      </c>
      <c r="U468" s="13" t="s">
        <v>1647</v>
      </c>
      <c r="V468" s="13" t="s">
        <v>1631</v>
      </c>
      <c r="W468" s="13"/>
    </row>
    <row r="469" spans="1:23" ht="150" x14ac:dyDescent="0.25">
      <c r="A469" s="13" t="s">
        <v>751</v>
      </c>
      <c r="B469" s="10" t="s">
        <v>1591</v>
      </c>
      <c r="C469" s="10" t="s">
        <v>1182</v>
      </c>
      <c r="D469" s="10" t="s">
        <v>57</v>
      </c>
      <c r="E469" s="13" t="s">
        <v>828</v>
      </c>
      <c r="F469" s="13" t="s">
        <v>1236</v>
      </c>
      <c r="G469" s="13" t="s">
        <v>835</v>
      </c>
      <c r="H469" s="11" t="s">
        <v>65</v>
      </c>
      <c r="I469" s="10" t="s">
        <v>1190</v>
      </c>
      <c r="J469" s="10" t="s">
        <v>56</v>
      </c>
      <c r="L469" s="13" t="s">
        <v>1647</v>
      </c>
      <c r="M469" s="13" t="s">
        <v>1631</v>
      </c>
      <c r="N469" s="13" t="s">
        <v>1640</v>
      </c>
      <c r="O469" s="13" t="s">
        <v>1647</v>
      </c>
      <c r="P469" s="13" t="s">
        <v>1631</v>
      </c>
      <c r="R469" s="13" t="s">
        <v>1647</v>
      </c>
      <c r="S469" s="13" t="s">
        <v>1631</v>
      </c>
      <c r="U469" s="13" t="s">
        <v>1647</v>
      </c>
      <c r="V469" s="13" t="s">
        <v>1631</v>
      </c>
      <c r="W469" s="13"/>
    </row>
    <row r="470" spans="1:23" ht="150" x14ac:dyDescent="0.25">
      <c r="A470" s="13" t="s">
        <v>752</v>
      </c>
      <c r="B470" s="10" t="s">
        <v>1592</v>
      </c>
      <c r="C470" s="10" t="s">
        <v>1182</v>
      </c>
      <c r="D470" s="10" t="s">
        <v>57</v>
      </c>
      <c r="E470" s="13" t="s">
        <v>828</v>
      </c>
      <c r="F470" s="13" t="s">
        <v>1238</v>
      </c>
      <c r="G470" s="13" t="s">
        <v>835</v>
      </c>
      <c r="H470" s="11" t="s">
        <v>65</v>
      </c>
      <c r="I470" s="10" t="s">
        <v>1190</v>
      </c>
      <c r="J470" s="10" t="s">
        <v>56</v>
      </c>
      <c r="L470" s="13" t="s">
        <v>1647</v>
      </c>
      <c r="M470" s="13" t="s">
        <v>1631</v>
      </c>
      <c r="N470" s="13" t="s">
        <v>1640</v>
      </c>
      <c r="O470" s="13" t="s">
        <v>1647</v>
      </c>
      <c r="P470" s="13" t="s">
        <v>1631</v>
      </c>
      <c r="R470" s="13" t="s">
        <v>1647</v>
      </c>
      <c r="S470" s="13" t="s">
        <v>1631</v>
      </c>
      <c r="U470" s="13" t="s">
        <v>1647</v>
      </c>
      <c r="V470" s="13" t="s">
        <v>1631</v>
      </c>
      <c r="W470" s="13"/>
    </row>
    <row r="471" spans="1:23" ht="105" x14ac:dyDescent="0.25">
      <c r="A471" s="13" t="s">
        <v>753</v>
      </c>
      <c r="B471" s="10" t="s">
        <v>1100</v>
      </c>
      <c r="C471" s="10" t="s">
        <v>1182</v>
      </c>
      <c r="D471" s="10" t="s">
        <v>57</v>
      </c>
      <c r="E471" s="13" t="s">
        <v>844</v>
      </c>
      <c r="F471" s="13" t="s">
        <v>110</v>
      </c>
      <c r="G471" s="13" t="s">
        <v>849</v>
      </c>
      <c r="H471" s="11" t="s">
        <v>65</v>
      </c>
      <c r="I471" s="10" t="s">
        <v>1191</v>
      </c>
      <c r="J471" s="10" t="s">
        <v>56</v>
      </c>
      <c r="L471" s="13" t="s">
        <v>1647</v>
      </c>
      <c r="M471" s="13" t="s">
        <v>1631</v>
      </c>
      <c r="N471" s="13" t="s">
        <v>1640</v>
      </c>
      <c r="O471" s="13" t="s">
        <v>1647</v>
      </c>
      <c r="P471" s="13" t="s">
        <v>1631</v>
      </c>
      <c r="R471" s="13" t="s">
        <v>1647</v>
      </c>
      <c r="S471" s="13" t="s">
        <v>1631</v>
      </c>
      <c r="U471" s="13" t="s">
        <v>1647</v>
      </c>
      <c r="V471" s="13" t="s">
        <v>1631</v>
      </c>
      <c r="W471" s="13"/>
    </row>
    <row r="472" spans="1:23" ht="105" x14ac:dyDescent="0.25">
      <c r="A472" s="13" t="s">
        <v>754</v>
      </c>
      <c r="B472" s="10" t="s">
        <v>1101</v>
      </c>
      <c r="C472" s="10" t="s">
        <v>1182</v>
      </c>
      <c r="D472" s="10" t="s">
        <v>57</v>
      </c>
      <c r="E472" s="13" t="s">
        <v>844</v>
      </c>
      <c r="F472" s="13" t="s">
        <v>110</v>
      </c>
      <c r="G472" s="13" t="s">
        <v>850</v>
      </c>
      <c r="H472" s="11" t="s">
        <v>65</v>
      </c>
      <c r="I472" s="10" t="s">
        <v>1191</v>
      </c>
      <c r="J472" s="10" t="s">
        <v>56</v>
      </c>
      <c r="L472" s="13" t="s">
        <v>1647</v>
      </c>
      <c r="M472" s="13" t="s">
        <v>1631</v>
      </c>
      <c r="N472" s="13" t="s">
        <v>1640</v>
      </c>
      <c r="O472" s="13" t="s">
        <v>1647</v>
      </c>
      <c r="P472" s="13" t="s">
        <v>1631</v>
      </c>
      <c r="R472" s="13" t="s">
        <v>1647</v>
      </c>
      <c r="S472" s="13" t="s">
        <v>1631</v>
      </c>
      <c r="U472" s="13" t="s">
        <v>1647</v>
      </c>
      <c r="V472" s="13" t="s">
        <v>1631</v>
      </c>
      <c r="W472" s="13"/>
    </row>
    <row r="473" spans="1:23" ht="105" x14ac:dyDescent="0.25">
      <c r="A473" s="13" t="s">
        <v>755</v>
      </c>
      <c r="B473" s="10" t="s">
        <v>1102</v>
      </c>
      <c r="C473" s="10" t="s">
        <v>1182</v>
      </c>
      <c r="D473" s="10" t="s">
        <v>57</v>
      </c>
      <c r="E473" s="13" t="s">
        <v>844</v>
      </c>
      <c r="F473" s="13" t="s">
        <v>110</v>
      </c>
      <c r="G473" s="13" t="s">
        <v>851</v>
      </c>
      <c r="H473" s="11" t="s">
        <v>65</v>
      </c>
      <c r="I473" s="10" t="s">
        <v>1192</v>
      </c>
      <c r="J473" s="10" t="s">
        <v>56</v>
      </c>
      <c r="L473" s="13" t="s">
        <v>1647</v>
      </c>
      <c r="M473" s="13" t="s">
        <v>1631</v>
      </c>
      <c r="N473" s="13" t="s">
        <v>1640</v>
      </c>
      <c r="O473" s="13" t="s">
        <v>1647</v>
      </c>
      <c r="P473" s="13" t="s">
        <v>1631</v>
      </c>
      <c r="R473" s="13" t="s">
        <v>1647</v>
      </c>
      <c r="S473" s="13" t="s">
        <v>1631</v>
      </c>
      <c r="U473" s="13" t="s">
        <v>1647</v>
      </c>
      <c r="V473" s="13" t="s">
        <v>1631</v>
      </c>
      <c r="W473" s="13"/>
    </row>
    <row r="474" spans="1:23" ht="90" x14ac:dyDescent="0.25">
      <c r="A474" s="13" t="s">
        <v>756</v>
      </c>
      <c r="B474" s="10" t="s">
        <v>1103</v>
      </c>
      <c r="C474" s="10" t="s">
        <v>1182</v>
      </c>
      <c r="D474" s="10" t="s">
        <v>57</v>
      </c>
      <c r="E474" s="13" t="s">
        <v>828</v>
      </c>
      <c r="F474" s="13" t="s">
        <v>847</v>
      </c>
      <c r="G474" s="13" t="s">
        <v>898</v>
      </c>
      <c r="H474" s="11" t="s">
        <v>65</v>
      </c>
      <c r="I474" s="10" t="s">
        <v>1187</v>
      </c>
      <c r="J474" s="10" t="s">
        <v>1619</v>
      </c>
      <c r="L474" s="13" t="s">
        <v>1647</v>
      </c>
      <c r="M474" s="13" t="s">
        <v>1631</v>
      </c>
      <c r="N474" s="13" t="s">
        <v>1640</v>
      </c>
      <c r="O474" s="13" t="s">
        <v>1647</v>
      </c>
      <c r="P474" s="13" t="s">
        <v>1631</v>
      </c>
      <c r="R474" s="13" t="s">
        <v>1647</v>
      </c>
      <c r="S474" s="13" t="s">
        <v>1631</v>
      </c>
      <c r="U474" s="13" t="s">
        <v>1647</v>
      </c>
      <c r="V474" s="13" t="s">
        <v>1631</v>
      </c>
      <c r="W474" s="13"/>
    </row>
    <row r="475" spans="1:23" ht="75" x14ac:dyDescent="0.25">
      <c r="A475" s="13" t="s">
        <v>757</v>
      </c>
      <c r="B475" s="10" t="s">
        <v>1104</v>
      </c>
      <c r="C475" s="10" t="s">
        <v>1182</v>
      </c>
      <c r="D475" s="10" t="s">
        <v>57</v>
      </c>
      <c r="E475" s="13" t="s">
        <v>828</v>
      </c>
      <c r="F475" s="13" t="s">
        <v>847</v>
      </c>
      <c r="G475" s="13" t="s">
        <v>866</v>
      </c>
      <c r="H475" s="11" t="s">
        <v>65</v>
      </c>
      <c r="I475" s="10" t="s">
        <v>1190</v>
      </c>
      <c r="J475" s="10" t="s">
        <v>56</v>
      </c>
      <c r="L475" s="13" t="s">
        <v>1647</v>
      </c>
      <c r="M475" s="13" t="s">
        <v>1631</v>
      </c>
      <c r="N475" s="13" t="s">
        <v>1640</v>
      </c>
      <c r="O475" s="13" t="s">
        <v>1647</v>
      </c>
      <c r="P475" s="13" t="s">
        <v>1631</v>
      </c>
      <c r="R475" s="13" t="s">
        <v>1647</v>
      </c>
      <c r="S475" s="13" t="s">
        <v>1631</v>
      </c>
      <c r="U475" s="13" t="s">
        <v>1647</v>
      </c>
      <c r="V475" s="13" t="s">
        <v>1631</v>
      </c>
      <c r="W475" s="13"/>
    </row>
    <row r="476" spans="1:23" ht="409.5" x14ac:dyDescent="0.25">
      <c r="A476" s="13" t="s">
        <v>758</v>
      </c>
      <c r="B476" s="10" t="s">
        <v>1105</v>
      </c>
      <c r="C476" s="10" t="s">
        <v>1182</v>
      </c>
      <c r="D476" s="10" t="s">
        <v>57</v>
      </c>
      <c r="E476" s="13" t="s">
        <v>860</v>
      </c>
      <c r="F476" s="13" t="s">
        <v>870</v>
      </c>
      <c r="G476" s="13" t="s">
        <v>904</v>
      </c>
      <c r="H476" s="11" t="s">
        <v>65</v>
      </c>
      <c r="I476" s="10" t="s">
        <v>1188</v>
      </c>
      <c r="J476" s="10" t="s">
        <v>871</v>
      </c>
      <c r="L476" s="13" t="s">
        <v>1647</v>
      </c>
      <c r="M476" s="13" t="s">
        <v>1631</v>
      </c>
      <c r="N476" s="13" t="s">
        <v>1640</v>
      </c>
      <c r="O476" s="13" t="s">
        <v>1647</v>
      </c>
      <c r="P476" s="13" t="s">
        <v>1631</v>
      </c>
      <c r="R476" s="13" t="s">
        <v>1647</v>
      </c>
      <c r="S476" s="13" t="s">
        <v>1631</v>
      </c>
      <c r="U476" s="13" t="s">
        <v>1647</v>
      </c>
      <c r="V476" s="13" t="s">
        <v>1631</v>
      </c>
      <c r="W476" s="13"/>
    </row>
    <row r="477" spans="1:23" ht="210" x14ac:dyDescent="0.25">
      <c r="A477" s="13" t="s">
        <v>759</v>
      </c>
      <c r="B477" s="10" t="s">
        <v>1106</v>
      </c>
      <c r="C477" s="10" t="s">
        <v>1182</v>
      </c>
      <c r="D477" s="10" t="s">
        <v>57</v>
      </c>
      <c r="E477" s="13" t="s">
        <v>828</v>
      </c>
      <c r="F477" s="13" t="s">
        <v>872</v>
      </c>
      <c r="G477" s="13" t="s">
        <v>922</v>
      </c>
      <c r="H477" s="11" t="s">
        <v>65</v>
      </c>
      <c r="I477" s="10" t="s">
        <v>56</v>
      </c>
      <c r="J477" s="10" t="s">
        <v>1183</v>
      </c>
      <c r="L477" s="13" t="s">
        <v>1647</v>
      </c>
      <c r="M477" s="13" t="s">
        <v>1631</v>
      </c>
      <c r="N477" s="13" t="s">
        <v>1640</v>
      </c>
      <c r="O477" s="13" t="s">
        <v>1647</v>
      </c>
      <c r="P477" s="13" t="s">
        <v>1631</v>
      </c>
      <c r="R477" s="13" t="s">
        <v>1647</v>
      </c>
      <c r="S477" s="13" t="s">
        <v>1631</v>
      </c>
      <c r="U477" s="13" t="s">
        <v>1647</v>
      </c>
      <c r="V477" s="13" t="s">
        <v>1631</v>
      </c>
      <c r="W477" s="13"/>
    </row>
    <row r="478" spans="1:23" ht="180" x14ac:dyDescent="0.25">
      <c r="A478" s="13" t="s">
        <v>760</v>
      </c>
      <c r="B478" s="10" t="s">
        <v>1107</v>
      </c>
      <c r="C478" s="10" t="s">
        <v>1182</v>
      </c>
      <c r="D478" s="10" t="s">
        <v>57</v>
      </c>
      <c r="E478" s="13" t="s">
        <v>828</v>
      </c>
      <c r="F478" s="13" t="s">
        <v>870</v>
      </c>
      <c r="G478" s="13" t="s">
        <v>922</v>
      </c>
      <c r="H478" s="11" t="s">
        <v>65</v>
      </c>
      <c r="I478" s="10" t="s">
        <v>56</v>
      </c>
      <c r="J478" s="10" t="s">
        <v>1184</v>
      </c>
      <c r="L478" s="13" t="s">
        <v>1647</v>
      </c>
      <c r="M478" s="13" t="s">
        <v>1631</v>
      </c>
      <c r="N478" s="13" t="s">
        <v>1640</v>
      </c>
      <c r="O478" s="13" t="s">
        <v>1647</v>
      </c>
      <c r="P478" s="13" t="s">
        <v>1631</v>
      </c>
      <c r="R478" s="13" t="s">
        <v>1647</v>
      </c>
      <c r="S478" s="13" t="s">
        <v>1631</v>
      </c>
      <c r="U478" s="13" t="s">
        <v>1647</v>
      </c>
      <c r="V478" s="13" t="s">
        <v>1631</v>
      </c>
      <c r="W478" s="13"/>
    </row>
    <row r="479" spans="1:23" ht="165" x14ac:dyDescent="0.25">
      <c r="A479" s="13" t="s">
        <v>761</v>
      </c>
      <c r="B479" s="10" t="s">
        <v>1108</v>
      </c>
      <c r="C479" s="10" t="s">
        <v>1182</v>
      </c>
      <c r="D479" s="10" t="s">
        <v>57</v>
      </c>
      <c r="E479" s="13" t="s">
        <v>828</v>
      </c>
      <c r="F479" s="13" t="s">
        <v>879</v>
      </c>
      <c r="G479" s="13" t="s">
        <v>922</v>
      </c>
      <c r="H479" s="11" t="s">
        <v>65</v>
      </c>
      <c r="I479" s="10" t="s">
        <v>1187</v>
      </c>
      <c r="J479" s="10" t="s">
        <v>56</v>
      </c>
      <c r="L479" s="13" t="s">
        <v>1647</v>
      </c>
      <c r="M479" s="13" t="s">
        <v>1631</v>
      </c>
      <c r="N479" s="13" t="s">
        <v>1640</v>
      </c>
      <c r="O479" s="13" t="s">
        <v>1647</v>
      </c>
      <c r="P479" s="13" t="s">
        <v>1631</v>
      </c>
      <c r="R479" s="13" t="s">
        <v>1647</v>
      </c>
      <c r="S479" s="13" t="s">
        <v>1631</v>
      </c>
      <c r="U479" s="13" t="s">
        <v>1647</v>
      </c>
      <c r="V479" s="13" t="s">
        <v>1631</v>
      </c>
      <c r="W479" s="13"/>
    </row>
    <row r="480" spans="1:23" ht="165" x14ac:dyDescent="0.25">
      <c r="A480" s="13" t="s">
        <v>762</v>
      </c>
      <c r="B480" s="10" t="s">
        <v>1109</v>
      </c>
      <c r="C480" s="10" t="s">
        <v>1182</v>
      </c>
      <c r="D480" s="10" t="s">
        <v>57</v>
      </c>
      <c r="E480" s="13" t="s">
        <v>828</v>
      </c>
      <c r="F480" s="13" t="s">
        <v>880</v>
      </c>
      <c r="G480" s="13" t="s">
        <v>922</v>
      </c>
      <c r="H480" s="11" t="s">
        <v>65</v>
      </c>
      <c r="I480" s="10" t="s">
        <v>1187</v>
      </c>
      <c r="J480" s="10" t="s">
        <v>56</v>
      </c>
      <c r="L480" s="13" t="s">
        <v>1647</v>
      </c>
      <c r="M480" s="13" t="s">
        <v>1631</v>
      </c>
      <c r="N480" s="13" t="s">
        <v>1640</v>
      </c>
      <c r="O480" s="13" t="s">
        <v>1647</v>
      </c>
      <c r="P480" s="13" t="s">
        <v>1631</v>
      </c>
      <c r="R480" s="13" t="s">
        <v>1647</v>
      </c>
      <c r="S480" s="13" t="s">
        <v>1631</v>
      </c>
      <c r="U480" s="13" t="s">
        <v>1647</v>
      </c>
      <c r="V480" s="13" t="s">
        <v>1631</v>
      </c>
      <c r="W480" s="13"/>
    </row>
    <row r="481" spans="1:23" ht="135" x14ac:dyDescent="0.25">
      <c r="A481" s="13" t="s">
        <v>763</v>
      </c>
      <c r="B481" s="10" t="s">
        <v>1110</v>
      </c>
      <c r="C481" s="10" t="s">
        <v>1182</v>
      </c>
      <c r="D481" s="10" t="s">
        <v>57</v>
      </c>
      <c r="E481" s="13" t="s">
        <v>828</v>
      </c>
      <c r="F481" s="13" t="s">
        <v>881</v>
      </c>
      <c r="G481" s="13" t="s">
        <v>922</v>
      </c>
      <c r="H481" s="11" t="s">
        <v>65</v>
      </c>
      <c r="I481" s="10" t="s">
        <v>1187</v>
      </c>
      <c r="J481" s="10" t="s">
        <v>56</v>
      </c>
      <c r="L481" s="13" t="s">
        <v>1647</v>
      </c>
      <c r="M481" s="13" t="s">
        <v>1631</v>
      </c>
      <c r="N481" s="13" t="s">
        <v>1640</v>
      </c>
      <c r="O481" s="13" t="s">
        <v>1647</v>
      </c>
      <c r="P481" s="13" t="s">
        <v>1631</v>
      </c>
      <c r="R481" s="13" t="s">
        <v>1647</v>
      </c>
      <c r="S481" s="13" t="s">
        <v>1631</v>
      </c>
      <c r="U481" s="13" t="s">
        <v>1647</v>
      </c>
      <c r="V481" s="13" t="s">
        <v>1631</v>
      </c>
      <c r="W481" s="13"/>
    </row>
    <row r="482" spans="1:23" ht="135" x14ac:dyDescent="0.25">
      <c r="A482" s="13" t="s">
        <v>764</v>
      </c>
      <c r="B482" s="10" t="s">
        <v>1111</v>
      </c>
      <c r="C482" s="10" t="s">
        <v>1182</v>
      </c>
      <c r="D482" s="10" t="s">
        <v>57</v>
      </c>
      <c r="E482" s="13" t="s">
        <v>828</v>
      </c>
      <c r="F482" s="13" t="s">
        <v>882</v>
      </c>
      <c r="G482" s="13" t="s">
        <v>922</v>
      </c>
      <c r="H482" s="11" t="s">
        <v>65</v>
      </c>
      <c r="I482" s="10" t="s">
        <v>1187</v>
      </c>
      <c r="J482" s="10" t="s">
        <v>56</v>
      </c>
      <c r="L482" s="13" t="s">
        <v>1647</v>
      </c>
      <c r="M482" s="13" t="s">
        <v>1631</v>
      </c>
      <c r="N482" s="13" t="s">
        <v>1640</v>
      </c>
      <c r="O482" s="13" t="s">
        <v>1647</v>
      </c>
      <c r="P482" s="13" t="s">
        <v>1631</v>
      </c>
      <c r="R482" s="13" t="s">
        <v>1647</v>
      </c>
      <c r="S482" s="13" t="s">
        <v>1631</v>
      </c>
      <c r="U482" s="13" t="s">
        <v>1647</v>
      </c>
      <c r="V482" s="13" t="s">
        <v>1631</v>
      </c>
      <c r="W482" s="13"/>
    </row>
    <row r="483" spans="1:23" ht="105" x14ac:dyDescent="0.25">
      <c r="A483" s="13" t="s">
        <v>765</v>
      </c>
      <c r="B483" s="10" t="s">
        <v>1593</v>
      </c>
      <c r="C483" s="10" t="s">
        <v>1182</v>
      </c>
      <c r="D483" s="10" t="s">
        <v>57</v>
      </c>
      <c r="E483" s="13" t="s">
        <v>831</v>
      </c>
      <c r="F483" s="13" t="s">
        <v>1133</v>
      </c>
      <c r="G483" s="13" t="s">
        <v>1199</v>
      </c>
      <c r="H483" s="11" t="s">
        <v>65</v>
      </c>
      <c r="I483" s="10" t="s">
        <v>1187</v>
      </c>
      <c r="J483" s="10" t="s">
        <v>56</v>
      </c>
      <c r="L483" s="13" t="s">
        <v>1647</v>
      </c>
      <c r="M483" s="13" t="s">
        <v>1631</v>
      </c>
      <c r="N483" s="13" t="s">
        <v>1640</v>
      </c>
      <c r="O483" s="13" t="s">
        <v>1647</v>
      </c>
      <c r="P483" s="13" t="s">
        <v>1631</v>
      </c>
      <c r="R483" s="13" t="s">
        <v>1647</v>
      </c>
      <c r="S483" s="13" t="s">
        <v>1631</v>
      </c>
      <c r="U483" s="13" t="s">
        <v>1647</v>
      </c>
      <c r="V483" s="13" t="s">
        <v>1631</v>
      </c>
      <c r="W483" s="13"/>
    </row>
    <row r="484" spans="1:23" ht="105" x14ac:dyDescent="0.25">
      <c r="A484" s="13" t="s">
        <v>766</v>
      </c>
      <c r="B484" s="10" t="s">
        <v>1594</v>
      </c>
      <c r="C484" s="10" t="s">
        <v>1182</v>
      </c>
      <c r="D484" s="10" t="s">
        <v>57</v>
      </c>
      <c r="E484" s="13" t="s">
        <v>831</v>
      </c>
      <c r="F484" s="13" t="s">
        <v>1134</v>
      </c>
      <c r="G484" s="13" t="s">
        <v>1201</v>
      </c>
      <c r="H484" s="11" t="s">
        <v>65</v>
      </c>
      <c r="I484" s="10" t="s">
        <v>1187</v>
      </c>
      <c r="J484" s="10" t="s">
        <v>1202</v>
      </c>
      <c r="L484" s="13" t="s">
        <v>1647</v>
      </c>
      <c r="M484" s="13" t="s">
        <v>1631</v>
      </c>
      <c r="N484" s="13" t="s">
        <v>1640</v>
      </c>
      <c r="O484" s="13" t="s">
        <v>1647</v>
      </c>
      <c r="P484" s="13" t="s">
        <v>1631</v>
      </c>
      <c r="R484" s="13" t="s">
        <v>1647</v>
      </c>
      <c r="S484" s="13" t="s">
        <v>1631</v>
      </c>
      <c r="U484" s="13" t="s">
        <v>1647</v>
      </c>
      <c r="V484" s="13" t="s">
        <v>1631</v>
      </c>
      <c r="W484" s="13"/>
    </row>
    <row r="485" spans="1:23" ht="105" x14ac:dyDescent="0.25">
      <c r="A485" s="13" t="s">
        <v>767</v>
      </c>
      <c r="B485" s="10" t="s">
        <v>1595</v>
      </c>
      <c r="C485" s="10" t="s">
        <v>1182</v>
      </c>
      <c r="D485" s="10" t="s">
        <v>57</v>
      </c>
      <c r="E485" s="13" t="s">
        <v>831</v>
      </c>
      <c r="F485" s="13" t="s">
        <v>1135</v>
      </c>
      <c r="G485" s="13" t="s">
        <v>1204</v>
      </c>
      <c r="H485" s="11" t="s">
        <v>65</v>
      </c>
      <c r="I485" s="10" t="s">
        <v>1187</v>
      </c>
      <c r="J485" s="10" t="s">
        <v>56</v>
      </c>
      <c r="L485" s="13" t="s">
        <v>1647</v>
      </c>
      <c r="M485" s="13" t="s">
        <v>1631</v>
      </c>
      <c r="N485" s="13" t="s">
        <v>1640</v>
      </c>
      <c r="O485" s="13" t="s">
        <v>1647</v>
      </c>
      <c r="P485" s="13" t="s">
        <v>1631</v>
      </c>
      <c r="R485" s="13" t="s">
        <v>1647</v>
      </c>
      <c r="S485" s="13" t="s">
        <v>1631</v>
      </c>
      <c r="U485" s="13" t="s">
        <v>1647</v>
      </c>
      <c r="V485" s="13" t="s">
        <v>1631</v>
      </c>
      <c r="W485" s="13"/>
    </row>
    <row r="486" spans="1:23" ht="105" x14ac:dyDescent="0.25">
      <c r="A486" s="13" t="s">
        <v>768</v>
      </c>
      <c r="B486" s="10" t="s">
        <v>1596</v>
      </c>
      <c r="C486" s="10" t="s">
        <v>1182</v>
      </c>
      <c r="D486" s="10" t="s">
        <v>57</v>
      </c>
      <c r="E486" s="13" t="s">
        <v>831</v>
      </c>
      <c r="F486" s="13" t="s">
        <v>1136</v>
      </c>
      <c r="G486" s="13" t="s">
        <v>1206</v>
      </c>
      <c r="H486" s="11" t="s">
        <v>65</v>
      </c>
      <c r="I486" s="10" t="s">
        <v>1187</v>
      </c>
      <c r="J486" s="10" t="s">
        <v>1207</v>
      </c>
      <c r="L486" s="13" t="s">
        <v>1647</v>
      </c>
      <c r="M486" s="13" t="s">
        <v>1631</v>
      </c>
      <c r="N486" s="13" t="s">
        <v>1640</v>
      </c>
      <c r="O486" s="13" t="s">
        <v>1647</v>
      </c>
      <c r="P486" s="13" t="s">
        <v>1631</v>
      </c>
      <c r="R486" s="13" t="s">
        <v>1647</v>
      </c>
      <c r="S486" s="13" t="s">
        <v>1631</v>
      </c>
      <c r="U486" s="13" t="s">
        <v>1647</v>
      </c>
      <c r="V486" s="13" t="s">
        <v>1631</v>
      </c>
      <c r="W486" s="13"/>
    </row>
    <row r="487" spans="1:23" ht="150" x14ac:dyDescent="0.25">
      <c r="A487" s="13" t="s">
        <v>769</v>
      </c>
      <c r="B487" s="10" t="s">
        <v>1597</v>
      </c>
      <c r="C487" s="10" t="s">
        <v>1182</v>
      </c>
      <c r="D487" s="10" t="s">
        <v>57</v>
      </c>
      <c r="E487" s="13" t="s">
        <v>831</v>
      </c>
      <c r="F487" s="13" t="s">
        <v>1240</v>
      </c>
      <c r="G487" s="13" t="s">
        <v>841</v>
      </c>
      <c r="H487" s="11" t="s">
        <v>65</v>
      </c>
      <c r="I487" s="10" t="s">
        <v>1190</v>
      </c>
      <c r="J487" s="10" t="s">
        <v>56</v>
      </c>
      <c r="L487" s="13" t="s">
        <v>1647</v>
      </c>
      <c r="M487" s="13" t="s">
        <v>1631</v>
      </c>
      <c r="N487" s="13" t="s">
        <v>1640</v>
      </c>
      <c r="O487" s="13" t="s">
        <v>1647</v>
      </c>
      <c r="P487" s="13" t="s">
        <v>1631</v>
      </c>
      <c r="R487" s="13" t="s">
        <v>1647</v>
      </c>
      <c r="S487" s="13" t="s">
        <v>1631</v>
      </c>
      <c r="U487" s="13" t="s">
        <v>1647</v>
      </c>
      <c r="V487" s="13" t="s">
        <v>1631</v>
      </c>
      <c r="W487" s="13"/>
    </row>
    <row r="488" spans="1:23" ht="150" x14ac:dyDescent="0.25">
      <c r="A488" s="13" t="s">
        <v>770</v>
      </c>
      <c r="B488" s="10" t="s">
        <v>1598</v>
      </c>
      <c r="C488" s="10" t="s">
        <v>1182</v>
      </c>
      <c r="D488" s="10" t="s">
        <v>57</v>
      </c>
      <c r="E488" s="13" t="s">
        <v>831</v>
      </c>
      <c r="F488" s="13" t="s">
        <v>1322</v>
      </c>
      <c r="G488" s="13" t="s">
        <v>836</v>
      </c>
      <c r="H488" s="11" t="s">
        <v>65</v>
      </c>
      <c r="I488" s="10" t="s">
        <v>56</v>
      </c>
      <c r="J488" s="10" t="s">
        <v>1323</v>
      </c>
      <c r="L488" s="13" t="s">
        <v>1647</v>
      </c>
      <c r="M488" s="13" t="s">
        <v>1631</v>
      </c>
      <c r="N488" s="13" t="s">
        <v>1640</v>
      </c>
      <c r="O488" s="13" t="s">
        <v>1647</v>
      </c>
      <c r="P488" s="13" t="s">
        <v>1631</v>
      </c>
      <c r="R488" s="13" t="s">
        <v>1647</v>
      </c>
      <c r="S488" s="13" t="s">
        <v>1631</v>
      </c>
      <c r="U488" s="13" t="s">
        <v>1647</v>
      </c>
      <c r="V488" s="13" t="s">
        <v>1631</v>
      </c>
      <c r="W488" s="13"/>
    </row>
    <row r="489" spans="1:23" ht="150" x14ac:dyDescent="0.25">
      <c r="A489" s="13" t="s">
        <v>771</v>
      </c>
      <c r="B489" s="10" t="s">
        <v>1599</v>
      </c>
      <c r="C489" s="10" t="s">
        <v>1182</v>
      </c>
      <c r="D489" s="10" t="s">
        <v>57</v>
      </c>
      <c r="E489" s="13" t="s">
        <v>831</v>
      </c>
      <c r="F489" s="13" t="s">
        <v>1325</v>
      </c>
      <c r="G489" s="13" t="s">
        <v>836</v>
      </c>
      <c r="H489" s="11" t="s">
        <v>65</v>
      </c>
      <c r="I489" s="10" t="s">
        <v>56</v>
      </c>
      <c r="J489" s="10" t="s">
        <v>1326</v>
      </c>
      <c r="L489" s="13" t="s">
        <v>1647</v>
      </c>
      <c r="M489" s="13" t="s">
        <v>1631</v>
      </c>
      <c r="N489" s="13" t="s">
        <v>1640</v>
      </c>
      <c r="O489" s="13" t="s">
        <v>1647</v>
      </c>
      <c r="P489" s="13" t="s">
        <v>1631</v>
      </c>
      <c r="R489" s="13" t="s">
        <v>1647</v>
      </c>
      <c r="S489" s="13" t="s">
        <v>1631</v>
      </c>
      <c r="U489" s="13" t="s">
        <v>1647</v>
      </c>
      <c r="V489" s="13" t="s">
        <v>1631</v>
      </c>
      <c r="W489" s="13"/>
    </row>
    <row r="490" spans="1:23" ht="150" x14ac:dyDescent="0.25">
      <c r="A490" s="13" t="s">
        <v>772</v>
      </c>
      <c r="B490" s="10" t="s">
        <v>1600</v>
      </c>
      <c r="C490" s="10" t="s">
        <v>1182</v>
      </c>
      <c r="D490" s="10" t="s">
        <v>57</v>
      </c>
      <c r="E490" s="13" t="s">
        <v>831</v>
      </c>
      <c r="F490" s="13" t="s">
        <v>1328</v>
      </c>
      <c r="G490" s="13" t="s">
        <v>836</v>
      </c>
      <c r="H490" s="11" t="s">
        <v>65</v>
      </c>
      <c r="I490" s="10" t="s">
        <v>56</v>
      </c>
      <c r="J490" s="10" t="s">
        <v>1329</v>
      </c>
      <c r="L490" s="13" t="s">
        <v>1647</v>
      </c>
      <c r="M490" s="13" t="s">
        <v>1631</v>
      </c>
      <c r="N490" s="13" t="s">
        <v>1640</v>
      </c>
      <c r="O490" s="13" t="s">
        <v>1647</v>
      </c>
      <c r="P490" s="13" t="s">
        <v>1631</v>
      </c>
      <c r="R490" s="13" t="s">
        <v>1647</v>
      </c>
      <c r="S490" s="13" t="s">
        <v>1631</v>
      </c>
      <c r="U490" s="13" t="s">
        <v>1647</v>
      </c>
      <c r="V490" s="13" t="s">
        <v>1631</v>
      </c>
      <c r="W490" s="13"/>
    </row>
    <row r="491" spans="1:23" ht="150" x14ac:dyDescent="0.25">
      <c r="A491" s="13" t="s">
        <v>773</v>
      </c>
      <c r="B491" s="10" t="s">
        <v>1601</v>
      </c>
      <c r="C491" s="10" t="s">
        <v>1182</v>
      </c>
      <c r="D491" s="10" t="s">
        <v>57</v>
      </c>
      <c r="E491" s="13" t="s">
        <v>831</v>
      </c>
      <c r="F491" s="13" t="s">
        <v>1331</v>
      </c>
      <c r="G491" s="13" t="s">
        <v>836</v>
      </c>
      <c r="H491" s="11" t="s">
        <v>65</v>
      </c>
      <c r="I491" s="10" t="s">
        <v>56</v>
      </c>
      <c r="J491" s="10" t="s">
        <v>1329</v>
      </c>
      <c r="L491" s="13" t="s">
        <v>1647</v>
      </c>
      <c r="M491" s="13" t="s">
        <v>1631</v>
      </c>
      <c r="N491" s="13" t="s">
        <v>1640</v>
      </c>
      <c r="O491" s="13" t="s">
        <v>1647</v>
      </c>
      <c r="P491" s="13" t="s">
        <v>1631</v>
      </c>
      <c r="R491" s="13" t="s">
        <v>1647</v>
      </c>
      <c r="S491" s="13" t="s">
        <v>1631</v>
      </c>
      <c r="U491" s="13" t="s">
        <v>1647</v>
      </c>
      <c r="V491" s="13" t="s">
        <v>1631</v>
      </c>
      <c r="W491" s="13"/>
    </row>
    <row r="492" spans="1:23" ht="120" x14ac:dyDescent="0.25">
      <c r="A492" s="13" t="s">
        <v>774</v>
      </c>
      <c r="B492" s="10" t="s">
        <v>1602</v>
      </c>
      <c r="C492" s="10" t="s">
        <v>1182</v>
      </c>
      <c r="D492" s="10" t="s">
        <v>57</v>
      </c>
      <c r="E492" s="13" t="s">
        <v>831</v>
      </c>
      <c r="F492" s="13" t="s">
        <v>1333</v>
      </c>
      <c r="G492" s="13" t="s">
        <v>836</v>
      </c>
      <c r="H492" s="11" t="s">
        <v>65</v>
      </c>
      <c r="I492" s="10" t="s">
        <v>1190</v>
      </c>
      <c r="J492" s="10" t="s">
        <v>56</v>
      </c>
      <c r="L492" s="13" t="s">
        <v>1647</v>
      </c>
      <c r="M492" s="13" t="s">
        <v>1631</v>
      </c>
      <c r="N492" s="13" t="s">
        <v>1640</v>
      </c>
      <c r="O492" s="13" t="s">
        <v>1647</v>
      </c>
      <c r="P492" s="13" t="s">
        <v>1631</v>
      </c>
      <c r="R492" s="13" t="s">
        <v>1647</v>
      </c>
      <c r="S492" s="13" t="s">
        <v>1631</v>
      </c>
      <c r="U492" s="13" t="s">
        <v>1647</v>
      </c>
      <c r="V492" s="13" t="s">
        <v>1631</v>
      </c>
      <c r="W492" s="13"/>
    </row>
    <row r="493" spans="1:23" ht="120" x14ac:dyDescent="0.25">
      <c r="A493" s="13" t="s">
        <v>775</v>
      </c>
      <c r="B493" s="10" t="s">
        <v>1603</v>
      </c>
      <c r="C493" s="10" t="s">
        <v>1182</v>
      </c>
      <c r="D493" s="10" t="s">
        <v>57</v>
      </c>
      <c r="E493" s="13" t="s">
        <v>831</v>
      </c>
      <c r="F493" s="13" t="s">
        <v>1335</v>
      </c>
      <c r="G493" s="13" t="s">
        <v>836</v>
      </c>
      <c r="H493" s="11" t="s">
        <v>65</v>
      </c>
      <c r="I493" s="10" t="s">
        <v>1190</v>
      </c>
      <c r="J493" s="10" t="s">
        <v>56</v>
      </c>
      <c r="L493" s="13" t="s">
        <v>1647</v>
      </c>
      <c r="M493" s="13" t="s">
        <v>1631</v>
      </c>
      <c r="N493" s="13" t="s">
        <v>1640</v>
      </c>
      <c r="O493" s="13" t="s">
        <v>1647</v>
      </c>
      <c r="P493" s="13" t="s">
        <v>1631</v>
      </c>
      <c r="R493" s="13" t="s">
        <v>1647</v>
      </c>
      <c r="S493" s="13" t="s">
        <v>1631</v>
      </c>
      <c r="U493" s="13" t="s">
        <v>1647</v>
      </c>
      <c r="V493" s="13" t="s">
        <v>1631</v>
      </c>
      <c r="W493" s="13"/>
    </row>
    <row r="494" spans="1:23" ht="105" x14ac:dyDescent="0.25">
      <c r="A494" s="13" t="s">
        <v>776</v>
      </c>
      <c r="B494" s="10" t="s">
        <v>1112</v>
      </c>
      <c r="C494" s="10" t="s">
        <v>1182</v>
      </c>
      <c r="D494" s="10" t="s">
        <v>57</v>
      </c>
      <c r="E494" s="13" t="s">
        <v>845</v>
      </c>
      <c r="F494" s="13" t="s">
        <v>110</v>
      </c>
      <c r="G494" s="13" t="s">
        <v>852</v>
      </c>
      <c r="H494" s="11" t="s">
        <v>65</v>
      </c>
      <c r="I494" s="10" t="s">
        <v>1191</v>
      </c>
      <c r="J494" s="10" t="s">
        <v>56</v>
      </c>
      <c r="L494" s="13" t="s">
        <v>1647</v>
      </c>
      <c r="M494" s="13" t="s">
        <v>1631</v>
      </c>
      <c r="N494" s="13" t="s">
        <v>1640</v>
      </c>
      <c r="O494" s="13" t="s">
        <v>1647</v>
      </c>
      <c r="P494" s="13" t="s">
        <v>1631</v>
      </c>
      <c r="R494" s="13" t="s">
        <v>1647</v>
      </c>
      <c r="S494" s="13" t="s">
        <v>1631</v>
      </c>
      <c r="U494" s="13" t="s">
        <v>1647</v>
      </c>
      <c r="V494" s="13" t="s">
        <v>1631</v>
      </c>
      <c r="W494" s="13"/>
    </row>
    <row r="495" spans="1:23" ht="105" x14ac:dyDescent="0.25">
      <c r="A495" s="13" t="s">
        <v>777</v>
      </c>
      <c r="B495" s="10" t="s">
        <v>1113</v>
      </c>
      <c r="C495" s="10" t="s">
        <v>1182</v>
      </c>
      <c r="D495" s="10" t="s">
        <v>57</v>
      </c>
      <c r="E495" s="13" t="s">
        <v>845</v>
      </c>
      <c r="F495" s="13" t="s">
        <v>110</v>
      </c>
      <c r="G495" s="13" t="s">
        <v>854</v>
      </c>
      <c r="H495" s="11" t="s">
        <v>65</v>
      </c>
      <c r="I495" s="10" t="s">
        <v>1191</v>
      </c>
      <c r="J495" s="10" t="s">
        <v>56</v>
      </c>
      <c r="L495" s="13" t="s">
        <v>1647</v>
      </c>
      <c r="M495" s="13" t="s">
        <v>1631</v>
      </c>
      <c r="N495" s="13" t="s">
        <v>1640</v>
      </c>
      <c r="O495" s="13" t="s">
        <v>1647</v>
      </c>
      <c r="P495" s="13" t="s">
        <v>1631</v>
      </c>
      <c r="R495" s="13" t="s">
        <v>1647</v>
      </c>
      <c r="S495" s="13" t="s">
        <v>1631</v>
      </c>
      <c r="U495" s="13" t="s">
        <v>1647</v>
      </c>
      <c r="V495" s="13" t="s">
        <v>1631</v>
      </c>
      <c r="W495" s="13"/>
    </row>
    <row r="496" spans="1:23" ht="90" x14ac:dyDescent="0.25">
      <c r="A496" s="13" t="s">
        <v>778</v>
      </c>
      <c r="B496" s="10" t="s">
        <v>1114</v>
      </c>
      <c r="C496" s="10" t="s">
        <v>1182</v>
      </c>
      <c r="D496" s="10" t="s">
        <v>57</v>
      </c>
      <c r="E496" s="13" t="s">
        <v>831</v>
      </c>
      <c r="F496" s="13" t="s">
        <v>847</v>
      </c>
      <c r="G496" s="13" t="s">
        <v>898</v>
      </c>
      <c r="H496" s="11" t="s">
        <v>65</v>
      </c>
      <c r="I496" s="10" t="s">
        <v>1187</v>
      </c>
      <c r="J496" s="10" t="s">
        <v>1619</v>
      </c>
      <c r="L496" s="13" t="s">
        <v>1647</v>
      </c>
      <c r="M496" s="13" t="s">
        <v>1631</v>
      </c>
      <c r="N496" s="13" t="s">
        <v>1640</v>
      </c>
      <c r="O496" s="13" t="s">
        <v>1647</v>
      </c>
      <c r="P496" s="13" t="s">
        <v>1631</v>
      </c>
      <c r="R496" s="13" t="s">
        <v>1647</v>
      </c>
      <c r="S496" s="13" t="s">
        <v>1631</v>
      </c>
      <c r="U496" s="13" t="s">
        <v>1647</v>
      </c>
      <c r="V496" s="13" t="s">
        <v>1631</v>
      </c>
      <c r="W496" s="13"/>
    </row>
    <row r="497" spans="1:23" ht="75" x14ac:dyDescent="0.25">
      <c r="A497" s="13" t="s">
        <v>779</v>
      </c>
      <c r="B497" s="10" t="s">
        <v>1115</v>
      </c>
      <c r="C497" s="10" t="s">
        <v>1182</v>
      </c>
      <c r="D497" s="10" t="s">
        <v>57</v>
      </c>
      <c r="E497" s="13" t="s">
        <v>831</v>
      </c>
      <c r="F497" s="13" t="s">
        <v>847</v>
      </c>
      <c r="G497" s="13" t="s">
        <v>866</v>
      </c>
      <c r="H497" s="11" t="s">
        <v>65</v>
      </c>
      <c r="I497" s="10" t="s">
        <v>1190</v>
      </c>
      <c r="J497" s="10" t="s">
        <v>56</v>
      </c>
      <c r="L497" s="13" t="s">
        <v>1647</v>
      </c>
      <c r="M497" s="13" t="s">
        <v>1631</v>
      </c>
      <c r="N497" s="13" t="s">
        <v>1640</v>
      </c>
      <c r="O497" s="13" t="s">
        <v>1647</v>
      </c>
      <c r="P497" s="13" t="s">
        <v>1631</v>
      </c>
      <c r="R497" s="13" t="s">
        <v>1647</v>
      </c>
      <c r="S497" s="13" t="s">
        <v>1631</v>
      </c>
      <c r="U497" s="13" t="s">
        <v>1647</v>
      </c>
      <c r="V497" s="13" t="s">
        <v>1631</v>
      </c>
      <c r="W497" s="13"/>
    </row>
    <row r="498" spans="1:23" ht="409.5" x14ac:dyDescent="0.25">
      <c r="A498" s="13" t="s">
        <v>780</v>
      </c>
      <c r="B498" s="10" t="s">
        <v>1116</v>
      </c>
      <c r="C498" s="10" t="s">
        <v>1182</v>
      </c>
      <c r="D498" s="10" t="s">
        <v>57</v>
      </c>
      <c r="E498" s="13" t="s">
        <v>861</v>
      </c>
      <c r="F498" s="13" t="s">
        <v>870</v>
      </c>
      <c r="G498" s="13" t="s">
        <v>905</v>
      </c>
      <c r="H498" s="11" t="s">
        <v>65</v>
      </c>
      <c r="I498" s="10" t="s">
        <v>1187</v>
      </c>
      <c r="J498" s="10" t="s">
        <v>871</v>
      </c>
      <c r="L498" s="13" t="s">
        <v>1647</v>
      </c>
      <c r="M498" s="13" t="s">
        <v>1631</v>
      </c>
      <c r="N498" s="13" t="s">
        <v>1640</v>
      </c>
      <c r="O498" s="13" t="s">
        <v>1647</v>
      </c>
      <c r="P498" s="13" t="s">
        <v>1631</v>
      </c>
      <c r="R498" s="13" t="s">
        <v>1647</v>
      </c>
      <c r="S498" s="13" t="s">
        <v>1631</v>
      </c>
      <c r="U498" s="13" t="s">
        <v>1647</v>
      </c>
      <c r="V498" s="13" t="s">
        <v>1631</v>
      </c>
      <c r="W498" s="13"/>
    </row>
    <row r="499" spans="1:23" ht="210" x14ac:dyDescent="0.25">
      <c r="A499" s="13" t="s">
        <v>781</v>
      </c>
      <c r="B499" s="10" t="s">
        <v>1117</v>
      </c>
      <c r="C499" s="10" t="s">
        <v>1182</v>
      </c>
      <c r="D499" s="10" t="s">
        <v>57</v>
      </c>
      <c r="E499" s="13" t="s">
        <v>831</v>
      </c>
      <c r="F499" s="13" t="s">
        <v>872</v>
      </c>
      <c r="G499" s="13" t="s">
        <v>922</v>
      </c>
      <c r="H499" s="11" t="s">
        <v>65</v>
      </c>
      <c r="I499" s="10" t="s">
        <v>56</v>
      </c>
      <c r="J499" s="10" t="s">
        <v>1183</v>
      </c>
      <c r="L499" s="13" t="s">
        <v>1647</v>
      </c>
      <c r="M499" s="13" t="s">
        <v>1631</v>
      </c>
      <c r="N499" s="13" t="s">
        <v>1640</v>
      </c>
      <c r="O499" s="13" t="s">
        <v>1647</v>
      </c>
      <c r="P499" s="13" t="s">
        <v>1631</v>
      </c>
      <c r="R499" s="13" t="s">
        <v>1647</v>
      </c>
      <c r="S499" s="13" t="s">
        <v>1631</v>
      </c>
      <c r="U499" s="13" t="s">
        <v>1647</v>
      </c>
      <c r="V499" s="13" t="s">
        <v>1631</v>
      </c>
      <c r="W499" s="13"/>
    </row>
    <row r="500" spans="1:23" ht="180" x14ac:dyDescent="0.25">
      <c r="A500" s="13" t="s">
        <v>782</v>
      </c>
      <c r="B500" s="10" t="s">
        <v>1118</v>
      </c>
      <c r="C500" s="10" t="s">
        <v>1182</v>
      </c>
      <c r="D500" s="10" t="s">
        <v>57</v>
      </c>
      <c r="E500" s="13" t="s">
        <v>831</v>
      </c>
      <c r="F500" s="13" t="s">
        <v>870</v>
      </c>
      <c r="G500" s="13" t="s">
        <v>922</v>
      </c>
      <c r="H500" s="11" t="s">
        <v>65</v>
      </c>
      <c r="I500" s="10" t="s">
        <v>56</v>
      </c>
      <c r="J500" s="10" t="s">
        <v>1184</v>
      </c>
      <c r="L500" s="13" t="s">
        <v>1647</v>
      </c>
      <c r="M500" s="13" t="s">
        <v>1631</v>
      </c>
      <c r="N500" s="13" t="s">
        <v>1640</v>
      </c>
      <c r="O500" s="13" t="s">
        <v>1647</v>
      </c>
      <c r="P500" s="13" t="s">
        <v>1631</v>
      </c>
      <c r="R500" s="13" t="s">
        <v>1647</v>
      </c>
      <c r="S500" s="13" t="s">
        <v>1631</v>
      </c>
    </row>
    <row r="501" spans="1:23" ht="165" x14ac:dyDescent="0.25">
      <c r="A501" s="13" t="s">
        <v>783</v>
      </c>
      <c r="B501" s="10" t="s">
        <v>1119</v>
      </c>
      <c r="C501" s="10" t="s">
        <v>1182</v>
      </c>
      <c r="D501" s="10" t="s">
        <v>57</v>
      </c>
      <c r="E501" s="13" t="s">
        <v>831</v>
      </c>
      <c r="F501" s="13" t="s">
        <v>879</v>
      </c>
      <c r="G501" s="13" t="s">
        <v>922</v>
      </c>
      <c r="H501" s="11" t="s">
        <v>65</v>
      </c>
      <c r="I501" s="10" t="s">
        <v>1187</v>
      </c>
      <c r="J501" s="10" t="s">
        <v>56</v>
      </c>
      <c r="L501" s="13" t="s">
        <v>1647</v>
      </c>
      <c r="M501" s="13" t="s">
        <v>1631</v>
      </c>
      <c r="N501" s="13" t="s">
        <v>1640</v>
      </c>
      <c r="O501" s="13" t="s">
        <v>1647</v>
      </c>
      <c r="P501" s="13" t="s">
        <v>1631</v>
      </c>
      <c r="R501" s="13" t="s">
        <v>1647</v>
      </c>
      <c r="S501" s="13" t="s">
        <v>1631</v>
      </c>
    </row>
    <row r="502" spans="1:23" ht="165" x14ac:dyDescent="0.25">
      <c r="A502" s="13" t="s">
        <v>784</v>
      </c>
      <c r="B502" s="10" t="s">
        <v>1120</v>
      </c>
      <c r="C502" s="10" t="s">
        <v>1182</v>
      </c>
      <c r="D502" s="10" t="s">
        <v>57</v>
      </c>
      <c r="E502" s="13" t="s">
        <v>831</v>
      </c>
      <c r="F502" s="13" t="s">
        <v>880</v>
      </c>
      <c r="G502" s="13" t="s">
        <v>922</v>
      </c>
      <c r="H502" s="11" t="s">
        <v>65</v>
      </c>
      <c r="I502" s="10" t="s">
        <v>1187</v>
      </c>
      <c r="J502" s="10" t="s">
        <v>56</v>
      </c>
      <c r="L502" s="13" t="s">
        <v>1647</v>
      </c>
      <c r="M502" s="13" t="s">
        <v>1631</v>
      </c>
      <c r="N502" s="13" t="s">
        <v>1640</v>
      </c>
      <c r="O502" s="13" t="s">
        <v>1647</v>
      </c>
      <c r="P502" s="13" t="s">
        <v>1631</v>
      </c>
      <c r="R502" s="13" t="s">
        <v>1647</v>
      </c>
      <c r="S502" s="13" t="s">
        <v>1631</v>
      </c>
    </row>
    <row r="503" spans="1:23" ht="135" x14ac:dyDescent="0.25">
      <c r="A503" s="13" t="s">
        <v>785</v>
      </c>
      <c r="B503" s="10" t="s">
        <v>1121</v>
      </c>
      <c r="C503" s="10" t="s">
        <v>1182</v>
      </c>
      <c r="D503" s="10" t="s">
        <v>57</v>
      </c>
      <c r="E503" s="13" t="s">
        <v>831</v>
      </c>
      <c r="F503" s="13" t="s">
        <v>881</v>
      </c>
      <c r="G503" s="13" t="s">
        <v>922</v>
      </c>
      <c r="H503" s="11" t="s">
        <v>65</v>
      </c>
      <c r="I503" s="10" t="s">
        <v>1187</v>
      </c>
      <c r="J503" s="10" t="s">
        <v>56</v>
      </c>
      <c r="L503" s="13" t="s">
        <v>1647</v>
      </c>
      <c r="M503" s="13" t="s">
        <v>1631</v>
      </c>
      <c r="N503" s="13" t="s">
        <v>1640</v>
      </c>
      <c r="O503" s="13" t="s">
        <v>1647</v>
      </c>
      <c r="P503" s="13" t="s">
        <v>1631</v>
      </c>
      <c r="R503" s="13" t="s">
        <v>1647</v>
      </c>
      <c r="S503" s="13" t="s">
        <v>1631</v>
      </c>
    </row>
    <row r="504" spans="1:23" ht="135" x14ac:dyDescent="0.25">
      <c r="A504" s="13" t="s">
        <v>786</v>
      </c>
      <c r="B504" s="10" t="s">
        <v>1122</v>
      </c>
      <c r="C504" s="10" t="s">
        <v>1182</v>
      </c>
      <c r="D504" s="10" t="s">
        <v>57</v>
      </c>
      <c r="E504" s="13" t="s">
        <v>831</v>
      </c>
      <c r="F504" s="13" t="s">
        <v>882</v>
      </c>
      <c r="G504" s="13" t="s">
        <v>922</v>
      </c>
      <c r="H504" s="11" t="s">
        <v>65</v>
      </c>
      <c r="I504" s="10" t="s">
        <v>1187</v>
      </c>
      <c r="J504" s="10" t="s">
        <v>56</v>
      </c>
      <c r="L504" s="13" t="s">
        <v>1647</v>
      </c>
      <c r="M504" s="13" t="s">
        <v>1631</v>
      </c>
      <c r="N504" s="13" t="s">
        <v>1640</v>
      </c>
      <c r="O504" s="13" t="s">
        <v>1647</v>
      </c>
      <c r="P504" s="13" t="s">
        <v>1631</v>
      </c>
      <c r="R504" s="13" t="s">
        <v>1647</v>
      </c>
      <c r="S504" s="13" t="s">
        <v>1631</v>
      </c>
    </row>
    <row r="505" spans="1:23" ht="105" x14ac:dyDescent="0.25">
      <c r="A505" s="13" t="s">
        <v>787</v>
      </c>
      <c r="B505" s="10" t="s">
        <v>1604</v>
      </c>
      <c r="C505" s="10" t="s">
        <v>1182</v>
      </c>
      <c r="D505" s="10" t="s">
        <v>57</v>
      </c>
      <c r="E505" s="13" t="s">
        <v>832</v>
      </c>
      <c r="F505" s="13" t="s">
        <v>1133</v>
      </c>
      <c r="G505" s="13" t="s">
        <v>1199</v>
      </c>
      <c r="H505" s="11" t="s">
        <v>65</v>
      </c>
      <c r="I505" s="10" t="s">
        <v>1187</v>
      </c>
      <c r="J505" s="10" t="s">
        <v>56</v>
      </c>
      <c r="L505" s="13" t="s">
        <v>1647</v>
      </c>
      <c r="M505" s="13" t="s">
        <v>1631</v>
      </c>
      <c r="N505" s="13" t="s">
        <v>1640</v>
      </c>
      <c r="O505" s="13" t="s">
        <v>1647</v>
      </c>
      <c r="P505" s="13" t="s">
        <v>1631</v>
      </c>
      <c r="R505" s="13" t="s">
        <v>1647</v>
      </c>
      <c r="S505" s="13" t="s">
        <v>1631</v>
      </c>
    </row>
    <row r="506" spans="1:23" ht="105" x14ac:dyDescent="0.25">
      <c r="A506" s="13" t="s">
        <v>788</v>
      </c>
      <c r="B506" s="10" t="s">
        <v>1605</v>
      </c>
      <c r="C506" s="10" t="s">
        <v>1182</v>
      </c>
      <c r="D506" s="10" t="s">
        <v>57</v>
      </c>
      <c r="E506" s="13" t="s">
        <v>832</v>
      </c>
      <c r="F506" s="13" t="s">
        <v>1134</v>
      </c>
      <c r="G506" s="13" t="s">
        <v>1201</v>
      </c>
      <c r="H506" s="11" t="s">
        <v>65</v>
      </c>
      <c r="I506" s="10" t="s">
        <v>1187</v>
      </c>
      <c r="J506" s="10" t="s">
        <v>1202</v>
      </c>
      <c r="L506" s="13" t="s">
        <v>1647</v>
      </c>
      <c r="M506" s="13" t="s">
        <v>1631</v>
      </c>
      <c r="N506" s="13" t="s">
        <v>1640</v>
      </c>
      <c r="O506" s="13" t="s">
        <v>1647</v>
      </c>
      <c r="P506" s="13" t="s">
        <v>1631</v>
      </c>
      <c r="R506" s="13" t="s">
        <v>1647</v>
      </c>
      <c r="S506" s="13" t="s">
        <v>1631</v>
      </c>
    </row>
    <row r="507" spans="1:23" ht="105" x14ac:dyDescent="0.25">
      <c r="A507" s="13" t="s">
        <v>789</v>
      </c>
      <c r="B507" s="10" t="s">
        <v>1606</v>
      </c>
      <c r="C507" s="10" t="s">
        <v>1182</v>
      </c>
      <c r="D507" s="10" t="s">
        <v>57</v>
      </c>
      <c r="E507" s="13" t="s">
        <v>832</v>
      </c>
      <c r="F507" s="13" t="s">
        <v>1135</v>
      </c>
      <c r="G507" s="13" t="s">
        <v>1204</v>
      </c>
      <c r="H507" s="11" t="s">
        <v>65</v>
      </c>
      <c r="I507" s="10" t="s">
        <v>1187</v>
      </c>
      <c r="J507" s="10" t="s">
        <v>56</v>
      </c>
      <c r="L507" s="13" t="s">
        <v>1647</v>
      </c>
      <c r="M507" s="13" t="s">
        <v>1631</v>
      </c>
      <c r="N507" s="13" t="s">
        <v>1640</v>
      </c>
      <c r="O507" s="13" t="s">
        <v>1647</v>
      </c>
      <c r="P507" s="13" t="s">
        <v>1631</v>
      </c>
      <c r="R507" s="13" t="s">
        <v>1647</v>
      </c>
      <c r="S507" s="13" t="s">
        <v>1631</v>
      </c>
    </row>
    <row r="508" spans="1:23" ht="105" x14ac:dyDescent="0.25">
      <c r="A508" s="13" t="s">
        <v>790</v>
      </c>
      <c r="B508" s="10" t="s">
        <v>1607</v>
      </c>
      <c r="C508" s="10" t="s">
        <v>1182</v>
      </c>
      <c r="D508" s="10" t="s">
        <v>57</v>
      </c>
      <c r="E508" s="13" t="s">
        <v>832</v>
      </c>
      <c r="F508" s="13" t="s">
        <v>1136</v>
      </c>
      <c r="G508" s="13" t="s">
        <v>1206</v>
      </c>
      <c r="H508" s="11" t="s">
        <v>65</v>
      </c>
      <c r="I508" s="10" t="s">
        <v>1187</v>
      </c>
      <c r="J508" s="10" t="s">
        <v>1207</v>
      </c>
      <c r="L508" s="13" t="s">
        <v>1647</v>
      </c>
      <c r="M508" s="13" t="s">
        <v>1631</v>
      </c>
      <c r="N508" s="13" t="s">
        <v>1640</v>
      </c>
      <c r="O508" s="13" t="s">
        <v>1647</v>
      </c>
      <c r="P508" s="13" t="s">
        <v>1631</v>
      </c>
      <c r="R508" s="13" t="s">
        <v>1647</v>
      </c>
      <c r="S508" s="13" t="s">
        <v>1631</v>
      </c>
    </row>
    <row r="509" spans="1:23" ht="150" x14ac:dyDescent="0.25">
      <c r="A509" s="13" t="s">
        <v>791</v>
      </c>
      <c r="B509" s="10" t="s">
        <v>1608</v>
      </c>
      <c r="C509" s="10" t="s">
        <v>1182</v>
      </c>
      <c r="D509" s="10" t="s">
        <v>57</v>
      </c>
      <c r="E509" s="13" t="s">
        <v>832</v>
      </c>
      <c r="F509" s="13" t="s">
        <v>1240</v>
      </c>
      <c r="G509" s="13" t="s">
        <v>841</v>
      </c>
      <c r="H509" s="11" t="s">
        <v>65</v>
      </c>
      <c r="I509" s="10" t="s">
        <v>1190</v>
      </c>
      <c r="J509" s="10" t="s">
        <v>56</v>
      </c>
      <c r="L509" s="13" t="s">
        <v>1647</v>
      </c>
      <c r="M509" s="13" t="s">
        <v>1631</v>
      </c>
      <c r="N509" s="13" t="s">
        <v>1640</v>
      </c>
      <c r="O509" s="13" t="s">
        <v>1647</v>
      </c>
      <c r="P509" s="13" t="s">
        <v>1631</v>
      </c>
      <c r="R509" s="13" t="s">
        <v>1647</v>
      </c>
      <c r="S509" s="13" t="s">
        <v>1631</v>
      </c>
    </row>
    <row r="510" spans="1:23" ht="150" x14ac:dyDescent="0.25">
      <c r="A510" s="13" t="s">
        <v>792</v>
      </c>
      <c r="B510" s="10" t="s">
        <v>1609</v>
      </c>
      <c r="C510" s="10" t="s">
        <v>1182</v>
      </c>
      <c r="D510" s="10" t="s">
        <v>57</v>
      </c>
      <c r="E510" s="13" t="s">
        <v>832</v>
      </c>
      <c r="F510" s="13" t="s">
        <v>1322</v>
      </c>
      <c r="G510" s="13" t="s">
        <v>836</v>
      </c>
      <c r="H510" s="11" t="s">
        <v>65</v>
      </c>
      <c r="I510" s="10" t="s">
        <v>56</v>
      </c>
      <c r="J510" s="10" t="s">
        <v>1323</v>
      </c>
      <c r="L510" s="13" t="s">
        <v>1647</v>
      </c>
      <c r="M510" s="13" t="s">
        <v>1631</v>
      </c>
      <c r="N510" s="13" t="s">
        <v>1640</v>
      </c>
      <c r="O510" s="13" t="s">
        <v>1647</v>
      </c>
      <c r="P510" s="13" t="s">
        <v>1631</v>
      </c>
      <c r="R510" s="13" t="s">
        <v>1647</v>
      </c>
      <c r="S510" s="13" t="s">
        <v>1631</v>
      </c>
    </row>
    <row r="511" spans="1:23" ht="150" x14ac:dyDescent="0.25">
      <c r="A511" s="13" t="s">
        <v>793</v>
      </c>
      <c r="B511" s="10" t="s">
        <v>1610</v>
      </c>
      <c r="C511" s="10" t="s">
        <v>1182</v>
      </c>
      <c r="D511" s="10" t="s">
        <v>57</v>
      </c>
      <c r="E511" s="13" t="s">
        <v>832</v>
      </c>
      <c r="F511" s="13" t="s">
        <v>1325</v>
      </c>
      <c r="G511" s="13" t="s">
        <v>836</v>
      </c>
      <c r="H511" s="11" t="s">
        <v>65</v>
      </c>
      <c r="I511" s="10" t="s">
        <v>56</v>
      </c>
      <c r="J511" s="10" t="s">
        <v>1326</v>
      </c>
      <c r="L511" s="13" t="s">
        <v>1647</v>
      </c>
      <c r="M511" s="13" t="s">
        <v>1631</v>
      </c>
      <c r="N511" s="13" t="s">
        <v>1640</v>
      </c>
      <c r="O511" s="13" t="s">
        <v>1647</v>
      </c>
      <c r="P511" s="13" t="s">
        <v>1631</v>
      </c>
      <c r="R511" s="13" t="s">
        <v>1647</v>
      </c>
      <c r="S511" s="13" t="s">
        <v>1631</v>
      </c>
    </row>
    <row r="512" spans="1:23" ht="150" x14ac:dyDescent="0.25">
      <c r="A512" s="13" t="s">
        <v>794</v>
      </c>
      <c r="B512" s="10" t="s">
        <v>1611</v>
      </c>
      <c r="C512" s="10" t="s">
        <v>1182</v>
      </c>
      <c r="D512" s="10" t="s">
        <v>57</v>
      </c>
      <c r="E512" s="13" t="s">
        <v>832</v>
      </c>
      <c r="F512" s="13" t="s">
        <v>1328</v>
      </c>
      <c r="G512" s="13" t="s">
        <v>836</v>
      </c>
      <c r="H512" s="11" t="s">
        <v>65</v>
      </c>
      <c r="I512" s="10" t="s">
        <v>56</v>
      </c>
      <c r="J512" s="10" t="s">
        <v>1329</v>
      </c>
      <c r="L512" s="13" t="s">
        <v>1647</v>
      </c>
      <c r="M512" s="13" t="s">
        <v>1631</v>
      </c>
      <c r="N512" s="13" t="s">
        <v>1640</v>
      </c>
      <c r="O512" s="13" t="s">
        <v>1647</v>
      </c>
      <c r="P512" s="13" t="s">
        <v>1631</v>
      </c>
      <c r="R512" s="13" t="s">
        <v>1647</v>
      </c>
      <c r="S512" s="13" t="s">
        <v>1631</v>
      </c>
    </row>
    <row r="513" spans="1:20" ht="150" x14ac:dyDescent="0.25">
      <c r="A513" s="13" t="s">
        <v>795</v>
      </c>
      <c r="B513" s="10" t="s">
        <v>1612</v>
      </c>
      <c r="C513" s="10" t="s">
        <v>1182</v>
      </c>
      <c r="D513" s="10" t="s">
        <v>57</v>
      </c>
      <c r="E513" s="13" t="s">
        <v>832</v>
      </c>
      <c r="F513" s="13" t="s">
        <v>1331</v>
      </c>
      <c r="G513" s="13" t="s">
        <v>836</v>
      </c>
      <c r="H513" s="11" t="s">
        <v>65</v>
      </c>
      <c r="I513" s="10" t="s">
        <v>56</v>
      </c>
      <c r="J513" s="10" t="s">
        <v>1329</v>
      </c>
      <c r="L513" s="13" t="s">
        <v>1647</v>
      </c>
      <c r="M513" s="13" t="s">
        <v>1631</v>
      </c>
      <c r="N513" s="13" t="s">
        <v>1640</v>
      </c>
      <c r="O513" s="13" t="s">
        <v>1647</v>
      </c>
      <c r="P513" s="13" t="s">
        <v>1631</v>
      </c>
      <c r="R513" s="13" t="s">
        <v>1647</v>
      </c>
      <c r="S513" s="13" t="s">
        <v>1631</v>
      </c>
    </row>
    <row r="514" spans="1:20" ht="120" x14ac:dyDescent="0.25">
      <c r="A514" s="13" t="s">
        <v>796</v>
      </c>
      <c r="B514" s="10" t="s">
        <v>1613</v>
      </c>
      <c r="C514" s="10" t="s">
        <v>1182</v>
      </c>
      <c r="D514" s="10" t="s">
        <v>57</v>
      </c>
      <c r="E514" s="13" t="s">
        <v>832</v>
      </c>
      <c r="F514" s="13" t="s">
        <v>1333</v>
      </c>
      <c r="G514" s="13" t="s">
        <v>836</v>
      </c>
      <c r="H514" s="11" t="s">
        <v>65</v>
      </c>
      <c r="I514" s="10" t="s">
        <v>1190</v>
      </c>
      <c r="J514" s="10" t="s">
        <v>56</v>
      </c>
      <c r="L514" s="13" t="s">
        <v>1647</v>
      </c>
      <c r="M514" s="13" t="s">
        <v>1631</v>
      </c>
      <c r="N514" s="13" t="s">
        <v>1640</v>
      </c>
      <c r="O514" s="13" t="s">
        <v>1647</v>
      </c>
      <c r="P514" s="13" t="s">
        <v>1631</v>
      </c>
      <c r="R514" s="13" t="s">
        <v>1647</v>
      </c>
      <c r="S514" s="13" t="s">
        <v>1631</v>
      </c>
    </row>
    <row r="515" spans="1:20" ht="120" x14ac:dyDescent="0.25">
      <c r="A515" s="13" t="s">
        <v>797</v>
      </c>
      <c r="B515" s="10" t="s">
        <v>1614</v>
      </c>
      <c r="C515" s="10" t="s">
        <v>1182</v>
      </c>
      <c r="D515" s="10" t="s">
        <v>57</v>
      </c>
      <c r="E515" s="13" t="s">
        <v>832</v>
      </c>
      <c r="F515" s="13" t="s">
        <v>1335</v>
      </c>
      <c r="G515" s="13" t="s">
        <v>836</v>
      </c>
      <c r="H515" s="11" t="s">
        <v>65</v>
      </c>
      <c r="I515" s="10" t="s">
        <v>1190</v>
      </c>
      <c r="J515" s="10" t="s">
        <v>56</v>
      </c>
      <c r="L515" s="13" t="s">
        <v>1647</v>
      </c>
      <c r="M515" s="13" t="s">
        <v>1631</v>
      </c>
      <c r="N515" s="13" t="s">
        <v>1640</v>
      </c>
      <c r="O515" s="13" t="s">
        <v>1647</v>
      </c>
      <c r="P515" s="13" t="s">
        <v>1631</v>
      </c>
      <c r="R515" s="13" t="s">
        <v>1647</v>
      </c>
      <c r="S515" s="13" t="s">
        <v>1631</v>
      </c>
    </row>
    <row r="516" spans="1:20" ht="105" x14ac:dyDescent="0.25">
      <c r="A516" s="13" t="s">
        <v>798</v>
      </c>
      <c r="B516" s="10" t="s">
        <v>1123</v>
      </c>
      <c r="C516" s="10" t="s">
        <v>1182</v>
      </c>
      <c r="D516" s="10" t="s">
        <v>57</v>
      </c>
      <c r="E516" s="13" t="s">
        <v>846</v>
      </c>
      <c r="F516" s="13" t="s">
        <v>110</v>
      </c>
      <c r="G516" s="13" t="s">
        <v>852</v>
      </c>
      <c r="H516" s="11" t="s">
        <v>65</v>
      </c>
      <c r="I516" s="10" t="s">
        <v>1191</v>
      </c>
      <c r="J516" s="10" t="s">
        <v>56</v>
      </c>
      <c r="L516" s="13" t="s">
        <v>1647</v>
      </c>
      <c r="M516" s="13" t="s">
        <v>1631</v>
      </c>
      <c r="N516" s="13" t="s">
        <v>1640</v>
      </c>
      <c r="O516" s="13" t="s">
        <v>1647</v>
      </c>
      <c r="P516" s="13" t="s">
        <v>1631</v>
      </c>
      <c r="R516" s="13" t="s">
        <v>1647</v>
      </c>
      <c r="S516" s="13" t="s">
        <v>1631</v>
      </c>
    </row>
    <row r="517" spans="1:20" ht="90" x14ac:dyDescent="0.25">
      <c r="A517" s="13" t="s">
        <v>799</v>
      </c>
      <c r="B517" s="10" t="s">
        <v>1124</v>
      </c>
      <c r="C517" s="10" t="s">
        <v>1182</v>
      </c>
      <c r="D517" s="10" t="s">
        <v>57</v>
      </c>
      <c r="E517" s="13" t="s">
        <v>832</v>
      </c>
      <c r="F517" s="13" t="s">
        <v>847</v>
      </c>
      <c r="G517" s="13" t="s">
        <v>898</v>
      </c>
      <c r="H517" s="11" t="s">
        <v>65</v>
      </c>
      <c r="I517" s="10" t="s">
        <v>1187</v>
      </c>
      <c r="J517" s="10" t="s">
        <v>1619</v>
      </c>
      <c r="L517" s="13" t="s">
        <v>1647</v>
      </c>
      <c r="M517" s="13" t="s">
        <v>1631</v>
      </c>
      <c r="N517" s="13" t="s">
        <v>1640</v>
      </c>
      <c r="O517" s="13" t="s">
        <v>1647</v>
      </c>
      <c r="P517" s="13" t="s">
        <v>1631</v>
      </c>
      <c r="R517" s="13" t="s">
        <v>1647</v>
      </c>
      <c r="S517" s="13" t="s">
        <v>1631</v>
      </c>
    </row>
    <row r="518" spans="1:20" ht="75" x14ac:dyDescent="0.25">
      <c r="A518" s="13" t="s">
        <v>800</v>
      </c>
      <c r="B518" s="10" t="s">
        <v>1125</v>
      </c>
      <c r="C518" s="10" t="s">
        <v>1182</v>
      </c>
      <c r="D518" s="10" t="s">
        <v>57</v>
      </c>
      <c r="E518" s="13" t="s">
        <v>832</v>
      </c>
      <c r="F518" s="13" t="s">
        <v>847</v>
      </c>
      <c r="G518" s="13" t="s">
        <v>866</v>
      </c>
      <c r="H518" s="11" t="s">
        <v>65</v>
      </c>
      <c r="I518" s="10" t="s">
        <v>1190</v>
      </c>
      <c r="J518" s="10" t="s">
        <v>56</v>
      </c>
      <c r="L518" s="13" t="s">
        <v>1647</v>
      </c>
      <c r="M518" s="13" t="s">
        <v>1631</v>
      </c>
      <c r="N518" s="13" t="s">
        <v>1640</v>
      </c>
      <c r="O518" s="13" t="s">
        <v>1647</v>
      </c>
      <c r="P518" s="13" t="s">
        <v>1631</v>
      </c>
      <c r="R518" s="13" t="s">
        <v>1647</v>
      </c>
      <c r="S518" s="13" t="s">
        <v>1631</v>
      </c>
    </row>
    <row r="519" spans="1:20" ht="409.5" x14ac:dyDescent="0.25">
      <c r="A519" s="13" t="s">
        <v>801</v>
      </c>
      <c r="B519" s="10" t="s">
        <v>1126</v>
      </c>
      <c r="C519" s="10" t="s">
        <v>1182</v>
      </c>
      <c r="D519" s="10" t="s">
        <v>57</v>
      </c>
      <c r="E519" s="13" t="s">
        <v>862</v>
      </c>
      <c r="F519" s="13" t="s">
        <v>870</v>
      </c>
      <c r="G519" s="13" t="s">
        <v>906</v>
      </c>
      <c r="H519" s="11" t="s">
        <v>65</v>
      </c>
      <c r="I519" s="10" t="s">
        <v>1188</v>
      </c>
      <c r="J519" s="10" t="s">
        <v>871</v>
      </c>
      <c r="L519" s="13" t="s">
        <v>1647</v>
      </c>
      <c r="M519" s="13" t="s">
        <v>1631</v>
      </c>
      <c r="N519" s="13" t="s">
        <v>1640</v>
      </c>
      <c r="O519" s="13" t="s">
        <v>1647</v>
      </c>
      <c r="P519" s="13" t="s">
        <v>1631</v>
      </c>
      <c r="R519" s="13" t="s">
        <v>1647</v>
      </c>
      <c r="S519" s="13" t="s">
        <v>1631</v>
      </c>
    </row>
    <row r="520" spans="1:20" ht="210" x14ac:dyDescent="0.25">
      <c r="A520" s="13" t="s">
        <v>802</v>
      </c>
      <c r="B520" s="10" t="s">
        <v>1127</v>
      </c>
      <c r="C520" s="10" t="s">
        <v>1182</v>
      </c>
      <c r="D520" s="10" t="s">
        <v>57</v>
      </c>
      <c r="E520" s="13" t="s">
        <v>832</v>
      </c>
      <c r="F520" s="13" t="s">
        <v>872</v>
      </c>
      <c r="G520" s="13" t="s">
        <v>922</v>
      </c>
      <c r="H520" s="11" t="s">
        <v>65</v>
      </c>
      <c r="I520" s="10" t="s">
        <v>56</v>
      </c>
      <c r="J520" s="10" t="s">
        <v>1183</v>
      </c>
      <c r="L520" s="13" t="s">
        <v>1647</v>
      </c>
      <c r="M520" s="13" t="s">
        <v>1631</v>
      </c>
      <c r="N520" s="13" t="s">
        <v>1640</v>
      </c>
      <c r="O520" s="13" t="s">
        <v>1647</v>
      </c>
      <c r="P520" s="13" t="s">
        <v>1631</v>
      </c>
      <c r="R520" s="13" t="s">
        <v>1647</v>
      </c>
      <c r="S520" s="13" t="s">
        <v>1631</v>
      </c>
    </row>
    <row r="521" spans="1:20" ht="180" x14ac:dyDescent="0.25">
      <c r="A521" s="13" t="s">
        <v>803</v>
      </c>
      <c r="B521" s="10" t="s">
        <v>1128</v>
      </c>
      <c r="C521" s="10" t="s">
        <v>1182</v>
      </c>
      <c r="D521" s="10" t="s">
        <v>57</v>
      </c>
      <c r="E521" s="13" t="s">
        <v>832</v>
      </c>
      <c r="F521" s="13" t="s">
        <v>870</v>
      </c>
      <c r="G521" s="13" t="s">
        <v>922</v>
      </c>
      <c r="H521" s="11" t="s">
        <v>65</v>
      </c>
      <c r="I521" s="10" t="s">
        <v>56</v>
      </c>
      <c r="J521" s="10" t="s">
        <v>1184</v>
      </c>
      <c r="L521" s="13" t="s">
        <v>1647</v>
      </c>
      <c r="M521" s="13" t="s">
        <v>1631</v>
      </c>
      <c r="N521" s="13" t="s">
        <v>1640</v>
      </c>
      <c r="O521" s="13" t="s">
        <v>1647</v>
      </c>
      <c r="P521" s="13" t="s">
        <v>1631</v>
      </c>
      <c r="R521" s="13" t="s">
        <v>1647</v>
      </c>
      <c r="S521" s="13" t="s">
        <v>1631</v>
      </c>
    </row>
    <row r="522" spans="1:20" ht="165" x14ac:dyDescent="0.25">
      <c r="A522" s="13" t="s">
        <v>804</v>
      </c>
      <c r="B522" s="10" t="s">
        <v>1129</v>
      </c>
      <c r="C522" s="10" t="s">
        <v>1182</v>
      </c>
      <c r="D522" s="10" t="s">
        <v>57</v>
      </c>
      <c r="E522" s="13" t="s">
        <v>832</v>
      </c>
      <c r="F522" s="13" t="s">
        <v>879</v>
      </c>
      <c r="G522" s="13" t="s">
        <v>922</v>
      </c>
      <c r="H522" s="11" t="s">
        <v>65</v>
      </c>
      <c r="I522" s="10" t="s">
        <v>1187</v>
      </c>
      <c r="J522" s="10" t="s">
        <v>56</v>
      </c>
      <c r="L522" s="13" t="s">
        <v>1647</v>
      </c>
      <c r="M522" s="13" t="s">
        <v>1631</v>
      </c>
      <c r="N522" s="13" t="s">
        <v>1640</v>
      </c>
      <c r="O522" s="13" t="s">
        <v>1647</v>
      </c>
      <c r="P522" s="13" t="s">
        <v>1631</v>
      </c>
      <c r="R522" s="13" t="s">
        <v>1647</v>
      </c>
      <c r="S522" s="13" t="s">
        <v>1631</v>
      </c>
    </row>
    <row r="523" spans="1:20" ht="165" x14ac:dyDescent="0.25">
      <c r="A523" s="13" t="s">
        <v>805</v>
      </c>
      <c r="B523" s="10" t="s">
        <v>1130</v>
      </c>
      <c r="C523" s="10" t="s">
        <v>1182</v>
      </c>
      <c r="D523" s="10" t="s">
        <v>57</v>
      </c>
      <c r="E523" s="13" t="s">
        <v>832</v>
      </c>
      <c r="F523" s="13" t="s">
        <v>880</v>
      </c>
      <c r="G523" s="13" t="s">
        <v>922</v>
      </c>
      <c r="H523" s="11" t="s">
        <v>65</v>
      </c>
      <c r="I523" s="10" t="s">
        <v>1187</v>
      </c>
      <c r="J523" s="10" t="s">
        <v>56</v>
      </c>
      <c r="L523" s="13" t="s">
        <v>1647</v>
      </c>
      <c r="M523" s="13" t="s">
        <v>1631</v>
      </c>
      <c r="N523" s="13" t="s">
        <v>1640</v>
      </c>
      <c r="O523" s="13" t="s">
        <v>1647</v>
      </c>
      <c r="P523" s="13" t="s">
        <v>1631</v>
      </c>
      <c r="R523" s="13" t="s">
        <v>1647</v>
      </c>
      <c r="S523" s="13" t="s">
        <v>1631</v>
      </c>
    </row>
    <row r="524" spans="1:20" ht="135" x14ac:dyDescent="0.25">
      <c r="A524" s="13" t="s">
        <v>806</v>
      </c>
      <c r="B524" s="10" t="s">
        <v>1131</v>
      </c>
      <c r="C524" s="10" t="s">
        <v>1182</v>
      </c>
      <c r="D524" s="10" t="s">
        <v>57</v>
      </c>
      <c r="E524" s="13" t="s">
        <v>832</v>
      </c>
      <c r="F524" s="13" t="s">
        <v>881</v>
      </c>
      <c r="G524" s="13" t="s">
        <v>922</v>
      </c>
      <c r="H524" s="11" t="s">
        <v>65</v>
      </c>
      <c r="I524" s="10" t="s">
        <v>1187</v>
      </c>
      <c r="J524" s="10" t="s">
        <v>56</v>
      </c>
      <c r="L524" s="13" t="s">
        <v>1647</v>
      </c>
      <c r="M524" s="13" t="s">
        <v>1631</v>
      </c>
      <c r="N524" s="13" t="s">
        <v>1640</v>
      </c>
      <c r="O524" s="13" t="s">
        <v>1647</v>
      </c>
      <c r="P524" s="13" t="s">
        <v>1631</v>
      </c>
      <c r="R524" s="13" t="s">
        <v>1647</v>
      </c>
      <c r="S524" s="13" t="s">
        <v>1631</v>
      </c>
    </row>
    <row r="525" spans="1:20" ht="135" x14ac:dyDescent="0.25">
      <c r="A525" s="13" t="s">
        <v>807</v>
      </c>
      <c r="B525" s="10" t="s">
        <v>1132</v>
      </c>
      <c r="C525" s="10" t="s">
        <v>1182</v>
      </c>
      <c r="D525" s="10" t="s">
        <v>57</v>
      </c>
      <c r="E525" s="13" t="s">
        <v>832</v>
      </c>
      <c r="F525" s="13" t="s">
        <v>882</v>
      </c>
      <c r="G525" s="13" t="s">
        <v>922</v>
      </c>
      <c r="H525" s="11" t="s">
        <v>65</v>
      </c>
      <c r="I525" s="10" t="s">
        <v>1187</v>
      </c>
      <c r="J525" s="10" t="s">
        <v>56</v>
      </c>
      <c r="L525" s="13" t="s">
        <v>1647</v>
      </c>
      <c r="M525" s="13" t="s">
        <v>1631</v>
      </c>
      <c r="N525" s="13" t="s">
        <v>1640</v>
      </c>
      <c r="O525" s="13" t="s">
        <v>1647</v>
      </c>
      <c r="P525" s="13" t="s">
        <v>1631</v>
      </c>
      <c r="R525" s="13" t="s">
        <v>1647</v>
      </c>
      <c r="S525" s="13" t="s">
        <v>1631</v>
      </c>
    </row>
    <row r="526" spans="1:20" ht="60" hidden="1" x14ac:dyDescent="0.25">
      <c r="A526" s="13" t="s">
        <v>808</v>
      </c>
      <c r="B526" s="10" t="s">
        <v>999</v>
      </c>
      <c r="C526" s="10" t="s">
        <v>1180</v>
      </c>
      <c r="D526" s="10" t="s">
        <v>57</v>
      </c>
      <c r="E526" s="13" t="s">
        <v>907</v>
      </c>
      <c r="F526" s="13" t="s">
        <v>1000</v>
      </c>
      <c r="G526" s="13" t="s">
        <v>908</v>
      </c>
      <c r="H526" s="11" t="s">
        <v>65</v>
      </c>
      <c r="I526" s="10" t="s">
        <v>1186</v>
      </c>
      <c r="J526" s="10" t="s">
        <v>56</v>
      </c>
      <c r="L526" s="13" t="s">
        <v>1653</v>
      </c>
      <c r="M526" s="13" t="s">
        <v>1632</v>
      </c>
      <c r="N526" s="13" t="s">
        <v>1639</v>
      </c>
      <c r="O526" s="13" t="s">
        <v>1653</v>
      </c>
      <c r="P526" s="13" t="s">
        <v>1632</v>
      </c>
    </row>
    <row r="527" spans="1:20" ht="135" hidden="1" x14ac:dyDescent="0.25">
      <c r="A527" s="13" t="s">
        <v>809</v>
      </c>
      <c r="B527" s="10" t="s">
        <v>1001</v>
      </c>
      <c r="C527" s="10" t="s">
        <v>1179</v>
      </c>
      <c r="D527" s="10" t="s">
        <v>57</v>
      </c>
      <c r="E527" s="13" t="s">
        <v>109</v>
      </c>
      <c r="F527" s="13" t="s">
        <v>1002</v>
      </c>
      <c r="G527" s="13" t="s">
        <v>813</v>
      </c>
      <c r="H527" s="11" t="s">
        <v>65</v>
      </c>
      <c r="I527" s="10" t="s">
        <v>1189</v>
      </c>
      <c r="J527" s="10" t="s">
        <v>8</v>
      </c>
      <c r="L527" s="13" t="s">
        <v>1647</v>
      </c>
      <c r="M527" s="13" t="s">
        <v>1631</v>
      </c>
      <c r="O527" s="13" t="s">
        <v>1647</v>
      </c>
      <c r="P527" s="13" t="s">
        <v>1631</v>
      </c>
      <c r="R527" s="13" t="s">
        <v>1692</v>
      </c>
      <c r="T527" s="13" t="s">
        <v>1693</v>
      </c>
    </row>
    <row r="528" spans="1:20" ht="210" hidden="1" x14ac:dyDescent="0.25">
      <c r="A528" s="13" t="s">
        <v>810</v>
      </c>
      <c r="B528" s="13" t="s">
        <v>1615</v>
      </c>
      <c r="C528" s="10" t="s">
        <v>1177</v>
      </c>
      <c r="D528" s="10" t="s">
        <v>57</v>
      </c>
      <c r="E528" s="13" t="s">
        <v>1296</v>
      </c>
      <c r="F528" s="13" t="s">
        <v>1003</v>
      </c>
      <c r="G528" s="13" t="s">
        <v>1616</v>
      </c>
      <c r="H528" s="11" t="s">
        <v>65</v>
      </c>
      <c r="I528" s="10" t="s">
        <v>1190</v>
      </c>
      <c r="J528" s="10" t="s">
        <v>1178</v>
      </c>
      <c r="L528" s="13" t="s">
        <v>1647</v>
      </c>
      <c r="M528" s="13" t="s">
        <v>1635</v>
      </c>
      <c r="N528" s="13" t="s">
        <v>1634</v>
      </c>
      <c r="O528" s="13" t="s">
        <v>1647</v>
      </c>
      <c r="P528" s="13" t="s">
        <v>1694</v>
      </c>
      <c r="Q528" s="13" t="s">
        <v>1695</v>
      </c>
      <c r="R528" s="13" t="s">
        <v>1653</v>
      </c>
      <c r="S528" s="13" t="s">
        <v>1696</v>
      </c>
      <c r="T528" s="13" t="s">
        <v>1679</v>
      </c>
    </row>
    <row r="529" spans="1:20" ht="195" hidden="1" x14ac:dyDescent="0.25">
      <c r="A529" s="13" t="s">
        <v>811</v>
      </c>
      <c r="B529" s="13" t="s">
        <v>1617</v>
      </c>
      <c r="C529" s="10" t="s">
        <v>1177</v>
      </c>
      <c r="D529" s="10" t="s">
        <v>57</v>
      </c>
      <c r="E529" s="13" t="s">
        <v>1296</v>
      </c>
      <c r="F529" s="13" t="s">
        <v>1004</v>
      </c>
      <c r="G529" s="13" t="s">
        <v>1616</v>
      </c>
      <c r="H529" s="11" t="s">
        <v>65</v>
      </c>
      <c r="I529" s="10" t="s">
        <v>1190</v>
      </c>
      <c r="J529" s="10" t="s">
        <v>833</v>
      </c>
      <c r="L529" s="13" t="s">
        <v>1647</v>
      </c>
      <c r="M529" s="13" t="s">
        <v>1633</v>
      </c>
      <c r="N529" s="13" t="s">
        <v>1634</v>
      </c>
      <c r="O529" s="13" t="s">
        <v>1653</v>
      </c>
      <c r="P529" s="13" t="s">
        <v>1697</v>
      </c>
      <c r="Q529" s="13" t="s">
        <v>1698</v>
      </c>
      <c r="R529" s="13" t="s">
        <v>1653</v>
      </c>
      <c r="S529" s="13" t="s">
        <v>1699</v>
      </c>
      <c r="T529" s="13" t="s">
        <v>1679</v>
      </c>
    </row>
    <row r="530" spans="1:20" x14ac:dyDescent="0.25">
      <c r="A530" s="13"/>
      <c r="B530" s="13"/>
      <c r="C530" s="10"/>
      <c r="D530" s="10"/>
      <c r="E530" s="13"/>
      <c r="F530" s="13"/>
      <c r="G530" s="13"/>
      <c r="H530" s="11"/>
      <c r="I530" s="10"/>
      <c r="J530" s="10"/>
    </row>
    <row r="531" spans="1:20" x14ac:dyDescent="0.25">
      <c r="A531" s="13"/>
      <c r="B531" s="13"/>
      <c r="C531" s="10"/>
      <c r="D531" s="10"/>
      <c r="E531" s="13"/>
      <c r="F531" s="13"/>
      <c r="G531" s="13"/>
      <c r="H531" s="11"/>
      <c r="I531" s="10"/>
      <c r="J531" s="10"/>
    </row>
  </sheetData>
  <autoFilter ref="A8:O529" xr:uid="{00000000-0001-0000-0100-000000000000}">
    <filterColumn colId="2">
      <filters>
        <filter val="LRUSWRS-1001"/>
        <filter val="LRUSWRS-1001_x000a_LRUSWDD-2728"/>
      </filters>
    </filterColumn>
  </autoFilter>
  <conditionalFormatting sqref="A532:A1048576 A302:A353 A8">
    <cfRule type="duplicateValues" dxfId="0" priority="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EE5E2-0412-4CD7-8A6E-90C9AB4512AB}">
  <dimension ref="B2:B8"/>
  <sheetViews>
    <sheetView workbookViewId="0">
      <selection activeCell="B9" sqref="B9"/>
    </sheetView>
  </sheetViews>
  <sheetFormatPr defaultRowHeight="15" x14ac:dyDescent="0.25"/>
  <cols>
    <col min="2" max="2" width="74" customWidth="1"/>
  </cols>
  <sheetData>
    <row r="2" spans="2:2" x14ac:dyDescent="0.25">
      <c r="B2" s="16" t="s">
        <v>1644</v>
      </c>
    </row>
    <row r="3" spans="2:2" x14ac:dyDescent="0.25">
      <c r="B3" t="s">
        <v>1648</v>
      </c>
    </row>
    <row r="4" spans="2:2" x14ac:dyDescent="0.25">
      <c r="B4" t="s">
        <v>1649</v>
      </c>
    </row>
    <row r="5" spans="2:2" x14ac:dyDescent="0.25">
      <c r="B5" t="s">
        <v>1650</v>
      </c>
    </row>
    <row r="6" spans="2:2" x14ac:dyDescent="0.25">
      <c r="B6" t="s">
        <v>1651</v>
      </c>
    </row>
    <row r="7" spans="2:2" x14ac:dyDescent="0.25">
      <c r="B7" t="s">
        <v>1655</v>
      </c>
    </row>
    <row r="8" spans="2:2" x14ac:dyDescent="0.25">
      <c r="B8" t="s">
        <v>1657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216"/>
  <sheetViews>
    <sheetView zoomScale="85" zoomScaleNormal="85" workbookViewId="0">
      <pane xSplit="1" ySplit="1" topLeftCell="C2" activePane="bottomRight" state="frozen"/>
      <selection pane="topRight" activeCell="B1" sqref="B1"/>
      <selection pane="bottomLeft" activeCell="A2" sqref="A2"/>
      <selection pane="bottomRight" activeCell="C8" sqref="C8"/>
    </sheetView>
  </sheetViews>
  <sheetFormatPr defaultRowHeight="15" x14ac:dyDescent="0.25"/>
  <cols>
    <col min="1" max="1" width="42.7109375" bestFit="1" customWidth="1"/>
    <col min="2" max="2" width="50.140625" style="3" bestFit="1" customWidth="1"/>
    <col min="3" max="3" width="41.7109375" style="3" bestFit="1" customWidth="1"/>
    <col min="4" max="5" width="14.28515625" bestFit="1" customWidth="1"/>
    <col min="6" max="6" width="71.5703125" customWidth="1"/>
  </cols>
  <sheetData>
    <row r="1" spans="1:6" x14ac:dyDescent="0.25">
      <c r="A1" s="4" t="s">
        <v>238</v>
      </c>
      <c r="B1" s="5" t="s">
        <v>239</v>
      </c>
      <c r="C1" s="5" t="s">
        <v>240</v>
      </c>
      <c r="D1" s="4" t="s">
        <v>241</v>
      </c>
      <c r="E1" s="4"/>
      <c r="F1" s="4" t="s">
        <v>242</v>
      </c>
    </row>
    <row r="2" spans="1:6" x14ac:dyDescent="0.25">
      <c r="A2" s="6" t="s">
        <v>11</v>
      </c>
      <c r="B2" s="2" t="s">
        <v>246</v>
      </c>
      <c r="C2" s="2" t="s">
        <v>232</v>
      </c>
      <c r="D2" s="7" t="s">
        <v>243</v>
      </c>
      <c r="E2" s="6" t="s">
        <v>243</v>
      </c>
      <c r="F2" s="6" t="s">
        <v>274</v>
      </c>
    </row>
    <row r="3" spans="1:6" x14ac:dyDescent="0.25">
      <c r="A3" s="6" t="s">
        <v>12</v>
      </c>
      <c r="B3" s="2" t="s">
        <v>246</v>
      </c>
      <c r="C3" s="2" t="s">
        <v>232</v>
      </c>
      <c r="D3" s="7" t="s">
        <v>243</v>
      </c>
      <c r="E3" s="6" t="s">
        <v>243</v>
      </c>
      <c r="F3" s="6" t="s">
        <v>274</v>
      </c>
    </row>
    <row r="4" spans="1:6" x14ac:dyDescent="0.25">
      <c r="A4" s="6" t="s">
        <v>13</v>
      </c>
      <c r="B4" s="2" t="s">
        <v>246</v>
      </c>
      <c r="C4" s="2" t="s">
        <v>232</v>
      </c>
      <c r="D4" s="7" t="s">
        <v>243</v>
      </c>
      <c r="E4" s="6" t="s">
        <v>243</v>
      </c>
      <c r="F4" s="6" t="s">
        <v>274</v>
      </c>
    </row>
    <row r="5" spans="1:6" ht="30" x14ac:dyDescent="0.25">
      <c r="A5" s="6" t="s">
        <v>15</v>
      </c>
      <c r="B5" s="2" t="s">
        <v>246</v>
      </c>
      <c r="C5" s="2" t="s">
        <v>232</v>
      </c>
      <c r="D5" s="7" t="s">
        <v>243</v>
      </c>
      <c r="E5" s="6" t="s">
        <v>243</v>
      </c>
      <c r="F5" s="2" t="s">
        <v>275</v>
      </c>
    </row>
    <row r="6" spans="1:6" x14ac:dyDescent="0.25">
      <c r="A6" s="6" t="s">
        <v>16</v>
      </c>
      <c r="B6" s="2" t="s">
        <v>246</v>
      </c>
      <c r="C6" s="2" t="s">
        <v>232</v>
      </c>
      <c r="D6" s="6" t="s">
        <v>244</v>
      </c>
      <c r="E6" s="6" t="s">
        <v>244</v>
      </c>
      <c r="F6" s="6"/>
    </row>
    <row r="7" spans="1:6" x14ac:dyDescent="0.25">
      <c r="A7" s="6" t="s">
        <v>17</v>
      </c>
      <c r="B7" s="2" t="s">
        <v>246</v>
      </c>
      <c r="C7" s="2" t="s">
        <v>232</v>
      </c>
      <c r="D7" s="6" t="s">
        <v>244</v>
      </c>
      <c r="E7" s="6" t="s">
        <v>244</v>
      </c>
      <c r="F7" s="6"/>
    </row>
    <row r="8" spans="1:6" x14ac:dyDescent="0.25">
      <c r="A8" s="6" t="s">
        <v>18</v>
      </c>
      <c r="B8" s="2" t="s">
        <v>246</v>
      </c>
      <c r="C8" s="2" t="s">
        <v>232</v>
      </c>
      <c r="D8" s="6" t="s">
        <v>244</v>
      </c>
      <c r="E8" s="6" t="s">
        <v>244</v>
      </c>
      <c r="F8" s="6"/>
    </row>
    <row r="9" spans="1:6" x14ac:dyDescent="0.25">
      <c r="A9" s="6" t="s">
        <v>19</v>
      </c>
      <c r="B9" s="2" t="s">
        <v>246</v>
      </c>
      <c r="C9" s="2" t="s">
        <v>232</v>
      </c>
      <c r="D9" s="6" t="s">
        <v>244</v>
      </c>
      <c r="E9" s="6" t="s">
        <v>244</v>
      </c>
      <c r="F9" s="6"/>
    </row>
    <row r="10" spans="1:6" x14ac:dyDescent="0.25">
      <c r="A10" s="6" t="s">
        <v>20</v>
      </c>
      <c r="B10" s="2" t="s">
        <v>246</v>
      </c>
      <c r="C10" s="2" t="s">
        <v>232</v>
      </c>
      <c r="D10" s="6" t="s">
        <v>244</v>
      </c>
      <c r="E10" s="6" t="s">
        <v>244</v>
      </c>
      <c r="F10" s="6"/>
    </row>
    <row r="11" spans="1:6" x14ac:dyDescent="0.25">
      <c r="A11" s="6" t="s">
        <v>21</v>
      </c>
      <c r="B11" s="2" t="s">
        <v>246</v>
      </c>
      <c r="C11" s="2" t="s">
        <v>232</v>
      </c>
      <c r="D11" s="6" t="s">
        <v>243</v>
      </c>
      <c r="E11" s="6" t="s">
        <v>244</v>
      </c>
      <c r="F11" s="6" t="s">
        <v>247</v>
      </c>
    </row>
    <row r="12" spans="1:6" x14ac:dyDescent="0.25">
      <c r="A12" s="6" t="s">
        <v>22</v>
      </c>
      <c r="B12" s="2" t="s">
        <v>246</v>
      </c>
      <c r="C12" s="2" t="s">
        <v>232</v>
      </c>
      <c r="D12" s="6" t="s">
        <v>244</v>
      </c>
      <c r="E12" s="6" t="s">
        <v>244</v>
      </c>
      <c r="F12" s="6"/>
    </row>
    <row r="13" spans="1:6" x14ac:dyDescent="0.25">
      <c r="A13" s="6" t="s">
        <v>23</v>
      </c>
      <c r="B13" s="2" t="s">
        <v>246</v>
      </c>
      <c r="C13" s="2" t="s">
        <v>232</v>
      </c>
      <c r="D13" s="6" t="s">
        <v>244</v>
      </c>
      <c r="E13" s="6" t="s">
        <v>244</v>
      </c>
      <c r="F13" s="6"/>
    </row>
    <row r="14" spans="1:6" x14ac:dyDescent="0.25">
      <c r="A14" s="6" t="s">
        <v>30</v>
      </c>
      <c r="B14" s="2" t="s">
        <v>246</v>
      </c>
      <c r="C14" s="2" t="s">
        <v>232</v>
      </c>
      <c r="D14" s="6" t="s">
        <v>243</v>
      </c>
      <c r="E14" s="6" t="s">
        <v>244</v>
      </c>
      <c r="F14" s="6" t="s">
        <v>248</v>
      </c>
    </row>
    <row r="15" spans="1:6" x14ac:dyDescent="0.25">
      <c r="A15" s="6" t="s">
        <v>31</v>
      </c>
      <c r="B15" s="2" t="s">
        <v>246</v>
      </c>
      <c r="C15" s="2" t="s">
        <v>232</v>
      </c>
      <c r="D15" s="6" t="s">
        <v>243</v>
      </c>
      <c r="E15" s="6" t="s">
        <v>244</v>
      </c>
      <c r="F15" s="6" t="s">
        <v>248</v>
      </c>
    </row>
    <row r="16" spans="1:6" x14ac:dyDescent="0.25">
      <c r="A16" s="6" t="s">
        <v>32</v>
      </c>
      <c r="B16" s="2" t="s">
        <v>246</v>
      </c>
      <c r="C16" s="2" t="s">
        <v>232</v>
      </c>
      <c r="D16" s="6" t="s">
        <v>243</v>
      </c>
      <c r="E16" s="6" t="s">
        <v>244</v>
      </c>
      <c r="F16" s="6" t="s">
        <v>248</v>
      </c>
    </row>
    <row r="17" spans="1:6" x14ac:dyDescent="0.25">
      <c r="A17" s="6" t="s">
        <v>33</v>
      </c>
      <c r="B17" s="2" t="s">
        <v>246</v>
      </c>
      <c r="C17" s="2" t="s">
        <v>232</v>
      </c>
      <c r="D17" s="6" t="s">
        <v>244</v>
      </c>
      <c r="E17" s="6" t="s">
        <v>244</v>
      </c>
      <c r="F17" s="6"/>
    </row>
    <row r="18" spans="1:6" x14ac:dyDescent="0.25">
      <c r="A18" s="6" t="s">
        <v>34</v>
      </c>
      <c r="B18" s="2" t="s">
        <v>246</v>
      </c>
      <c r="C18" s="2" t="s">
        <v>232</v>
      </c>
      <c r="D18" s="6" t="s">
        <v>243</v>
      </c>
      <c r="E18" s="6" t="s">
        <v>244</v>
      </c>
      <c r="F18" s="6" t="s">
        <v>247</v>
      </c>
    </row>
    <row r="19" spans="1:6" x14ac:dyDescent="0.25">
      <c r="A19" s="6" t="s">
        <v>67</v>
      </c>
      <c r="B19" s="2" t="s">
        <v>246</v>
      </c>
      <c r="C19" s="2" t="s">
        <v>232</v>
      </c>
      <c r="D19" s="6" t="s">
        <v>244</v>
      </c>
      <c r="E19" s="6" t="s">
        <v>244</v>
      </c>
      <c r="F19" s="6"/>
    </row>
    <row r="20" spans="1:6" x14ac:dyDescent="0.25">
      <c r="A20" s="6" t="s">
        <v>69</v>
      </c>
      <c r="B20" s="2" t="s">
        <v>246</v>
      </c>
      <c r="C20" s="2" t="s">
        <v>232</v>
      </c>
      <c r="D20" s="6" t="s">
        <v>244</v>
      </c>
      <c r="E20" s="6" t="s">
        <v>244</v>
      </c>
      <c r="F20" s="6"/>
    </row>
    <row r="21" spans="1:6" x14ac:dyDescent="0.25">
      <c r="A21" s="6" t="s">
        <v>72</v>
      </c>
      <c r="B21" s="2" t="s">
        <v>246</v>
      </c>
      <c r="C21" s="2" t="s">
        <v>232</v>
      </c>
      <c r="D21" s="6" t="s">
        <v>243</v>
      </c>
      <c r="E21" s="6" t="s">
        <v>244</v>
      </c>
      <c r="F21" s="6" t="s">
        <v>247</v>
      </c>
    </row>
    <row r="22" spans="1:6" x14ac:dyDescent="0.25">
      <c r="A22" s="6" t="s">
        <v>73</v>
      </c>
      <c r="B22" s="2" t="s">
        <v>246</v>
      </c>
      <c r="C22" s="2" t="s">
        <v>232</v>
      </c>
      <c r="D22" s="6" t="s">
        <v>243</v>
      </c>
      <c r="E22" s="6" t="s">
        <v>244</v>
      </c>
      <c r="F22" s="6" t="s">
        <v>247</v>
      </c>
    </row>
    <row r="23" spans="1:6" x14ac:dyDescent="0.25">
      <c r="A23" s="6" t="s">
        <v>74</v>
      </c>
      <c r="B23" s="2" t="s">
        <v>246</v>
      </c>
      <c r="C23" s="2" t="s">
        <v>232</v>
      </c>
      <c r="D23" s="6" t="s">
        <v>243</v>
      </c>
      <c r="E23" s="6" t="s">
        <v>244</v>
      </c>
      <c r="F23" s="6" t="s">
        <v>247</v>
      </c>
    </row>
    <row r="24" spans="1:6" x14ac:dyDescent="0.25">
      <c r="A24" s="6" t="s">
        <v>75</v>
      </c>
      <c r="B24" s="2" t="s">
        <v>246</v>
      </c>
      <c r="C24" s="2" t="s">
        <v>232</v>
      </c>
      <c r="D24" s="6" t="s">
        <v>243</v>
      </c>
      <c r="E24" s="6" t="s">
        <v>244</v>
      </c>
      <c r="F24" s="6" t="s">
        <v>247</v>
      </c>
    </row>
    <row r="25" spans="1:6" ht="30" x14ac:dyDescent="0.25">
      <c r="A25" s="6" t="s">
        <v>77</v>
      </c>
      <c r="B25" s="2" t="s">
        <v>246</v>
      </c>
      <c r="C25" s="2" t="s">
        <v>232</v>
      </c>
      <c r="D25" s="7" t="s">
        <v>243</v>
      </c>
      <c r="E25" s="6" t="s">
        <v>243</v>
      </c>
      <c r="F25" s="2" t="s">
        <v>275</v>
      </c>
    </row>
    <row r="26" spans="1:6" x14ac:dyDescent="0.25">
      <c r="A26" s="6" t="s">
        <v>35</v>
      </c>
      <c r="B26" s="2" t="s">
        <v>246</v>
      </c>
      <c r="C26" s="2" t="s">
        <v>232</v>
      </c>
      <c r="D26" s="6" t="s">
        <v>244</v>
      </c>
      <c r="E26" s="6" t="s">
        <v>244</v>
      </c>
      <c r="F26" s="6"/>
    </row>
    <row r="27" spans="1:6" x14ac:dyDescent="0.25">
      <c r="A27" s="6" t="s">
        <v>36</v>
      </c>
      <c r="B27" s="2" t="s">
        <v>246</v>
      </c>
      <c r="C27" s="2" t="s">
        <v>232</v>
      </c>
      <c r="D27" s="6" t="s">
        <v>244</v>
      </c>
      <c r="E27" s="6" t="s">
        <v>244</v>
      </c>
      <c r="F27" s="6"/>
    </row>
    <row r="28" spans="1:6" x14ac:dyDescent="0.25">
      <c r="A28" s="6" t="s">
        <v>37</v>
      </c>
      <c r="B28" s="2" t="s">
        <v>246</v>
      </c>
      <c r="C28" s="2" t="s">
        <v>232</v>
      </c>
      <c r="D28" s="6" t="s">
        <v>244</v>
      </c>
      <c r="E28" s="6" t="s">
        <v>244</v>
      </c>
      <c r="F28" s="6"/>
    </row>
    <row r="29" spans="1:6" x14ac:dyDescent="0.25">
      <c r="A29" s="6" t="s">
        <v>38</v>
      </c>
      <c r="B29" s="2" t="s">
        <v>246</v>
      </c>
      <c r="C29" s="2" t="s">
        <v>232</v>
      </c>
      <c r="D29" s="6" t="s">
        <v>244</v>
      </c>
      <c r="E29" s="6" t="s">
        <v>244</v>
      </c>
      <c r="F29" s="6"/>
    </row>
    <row r="30" spans="1:6" x14ac:dyDescent="0.25">
      <c r="A30" s="6" t="s">
        <v>39</v>
      </c>
      <c r="B30" s="2" t="s">
        <v>246</v>
      </c>
      <c r="C30" s="2" t="s">
        <v>232</v>
      </c>
      <c r="D30" s="6" t="s">
        <v>244</v>
      </c>
      <c r="E30" s="6" t="s">
        <v>244</v>
      </c>
      <c r="F30" s="6"/>
    </row>
    <row r="31" spans="1:6" x14ac:dyDescent="0.25">
      <c r="A31" s="6" t="s">
        <v>40</v>
      </c>
      <c r="B31" s="2" t="s">
        <v>246</v>
      </c>
      <c r="C31" s="2" t="s">
        <v>232</v>
      </c>
      <c r="D31" s="6" t="s">
        <v>243</v>
      </c>
      <c r="E31" s="6" t="s">
        <v>244</v>
      </c>
      <c r="F31" s="6" t="s">
        <v>247</v>
      </c>
    </row>
    <row r="32" spans="1:6" x14ac:dyDescent="0.25">
      <c r="A32" s="6" t="s">
        <v>41</v>
      </c>
      <c r="B32" s="2" t="s">
        <v>246</v>
      </c>
      <c r="C32" s="2" t="s">
        <v>232</v>
      </c>
      <c r="D32" s="6" t="s">
        <v>244</v>
      </c>
      <c r="E32" s="6" t="s">
        <v>244</v>
      </c>
      <c r="F32" s="6"/>
    </row>
    <row r="33" spans="1:6" x14ac:dyDescent="0.25">
      <c r="A33" s="6" t="s">
        <v>42</v>
      </c>
      <c r="B33" s="2" t="s">
        <v>246</v>
      </c>
      <c r="C33" s="2" t="s">
        <v>232</v>
      </c>
      <c r="D33" s="6" t="s">
        <v>244</v>
      </c>
      <c r="E33" s="6" t="s">
        <v>244</v>
      </c>
      <c r="F33" s="6"/>
    </row>
    <row r="34" spans="1:6" x14ac:dyDescent="0.25">
      <c r="A34" s="6" t="s">
        <v>49</v>
      </c>
      <c r="B34" s="2" t="s">
        <v>246</v>
      </c>
      <c r="C34" s="2" t="s">
        <v>232</v>
      </c>
      <c r="D34" s="6" t="s">
        <v>243</v>
      </c>
      <c r="E34" s="6" t="s">
        <v>244</v>
      </c>
      <c r="F34" s="6" t="s">
        <v>248</v>
      </c>
    </row>
    <row r="35" spans="1:6" x14ac:dyDescent="0.25">
      <c r="A35" s="6" t="s">
        <v>50</v>
      </c>
      <c r="B35" s="2" t="s">
        <v>246</v>
      </c>
      <c r="C35" s="2" t="s">
        <v>232</v>
      </c>
      <c r="D35" s="6" t="s">
        <v>243</v>
      </c>
      <c r="E35" s="6" t="s">
        <v>244</v>
      </c>
      <c r="F35" s="6" t="s">
        <v>248</v>
      </c>
    </row>
    <row r="36" spans="1:6" x14ac:dyDescent="0.25">
      <c r="A36" s="6" t="s">
        <v>51</v>
      </c>
      <c r="B36" s="2" t="s">
        <v>246</v>
      </c>
      <c r="C36" s="2" t="s">
        <v>232</v>
      </c>
      <c r="D36" s="6" t="s">
        <v>243</v>
      </c>
      <c r="E36" s="6" t="s">
        <v>244</v>
      </c>
      <c r="F36" s="6" t="s">
        <v>248</v>
      </c>
    </row>
    <row r="37" spans="1:6" x14ac:dyDescent="0.25">
      <c r="A37" s="6" t="s">
        <v>52</v>
      </c>
      <c r="B37" s="2" t="s">
        <v>246</v>
      </c>
      <c r="C37" s="2" t="s">
        <v>232</v>
      </c>
      <c r="D37" s="6" t="s">
        <v>243</v>
      </c>
      <c r="E37" s="6" t="s">
        <v>244</v>
      </c>
      <c r="F37" s="6" t="s">
        <v>247</v>
      </c>
    </row>
    <row r="38" spans="1:6" x14ac:dyDescent="0.25">
      <c r="A38" s="6" t="s">
        <v>54</v>
      </c>
      <c r="B38" s="2" t="s">
        <v>246</v>
      </c>
      <c r="C38" s="2" t="s">
        <v>232</v>
      </c>
      <c r="D38" s="6" t="s">
        <v>244</v>
      </c>
      <c r="E38" s="6" t="s">
        <v>244</v>
      </c>
      <c r="F38" s="6"/>
    </row>
    <row r="39" spans="1:6" x14ac:dyDescent="0.25">
      <c r="A39" s="6" t="s">
        <v>58</v>
      </c>
      <c r="B39" s="2" t="s">
        <v>246</v>
      </c>
      <c r="C39" s="2" t="s">
        <v>232</v>
      </c>
      <c r="D39" s="6" t="s">
        <v>244</v>
      </c>
      <c r="E39" s="6" t="s">
        <v>244</v>
      </c>
      <c r="F39" s="6"/>
    </row>
    <row r="40" spans="1:6" x14ac:dyDescent="0.25">
      <c r="A40" s="6" t="s">
        <v>61</v>
      </c>
      <c r="B40" s="2" t="s">
        <v>246</v>
      </c>
      <c r="C40" s="2" t="s">
        <v>232</v>
      </c>
      <c r="D40" s="6" t="s">
        <v>243</v>
      </c>
      <c r="E40" s="6" t="s">
        <v>244</v>
      </c>
      <c r="F40" s="6" t="s">
        <v>247</v>
      </c>
    </row>
    <row r="41" spans="1:6" x14ac:dyDescent="0.25">
      <c r="A41" s="6" t="s">
        <v>62</v>
      </c>
      <c r="B41" s="2" t="s">
        <v>246</v>
      </c>
      <c r="C41" s="2" t="s">
        <v>232</v>
      </c>
      <c r="D41" s="6" t="s">
        <v>243</v>
      </c>
      <c r="E41" s="6" t="s">
        <v>244</v>
      </c>
      <c r="F41" s="6" t="s">
        <v>247</v>
      </c>
    </row>
    <row r="42" spans="1:6" x14ac:dyDescent="0.25">
      <c r="A42" s="6" t="s">
        <v>63</v>
      </c>
      <c r="B42" s="2" t="s">
        <v>246</v>
      </c>
      <c r="C42" s="2" t="s">
        <v>232</v>
      </c>
      <c r="D42" s="6" t="s">
        <v>243</v>
      </c>
      <c r="E42" s="6" t="s">
        <v>244</v>
      </c>
      <c r="F42" s="6" t="s">
        <v>247</v>
      </c>
    </row>
    <row r="43" spans="1:6" x14ac:dyDescent="0.25">
      <c r="A43" s="6" t="s">
        <v>64</v>
      </c>
      <c r="B43" s="2" t="s">
        <v>246</v>
      </c>
      <c r="C43" s="2" t="s">
        <v>232</v>
      </c>
      <c r="D43" s="6" t="s">
        <v>243</v>
      </c>
      <c r="E43" s="6" t="s">
        <v>244</v>
      </c>
      <c r="F43" s="6" t="s">
        <v>247</v>
      </c>
    </row>
    <row r="44" spans="1:6" ht="30" x14ac:dyDescent="0.25">
      <c r="A44" s="6" t="s">
        <v>79</v>
      </c>
      <c r="B44" s="2" t="s">
        <v>246</v>
      </c>
      <c r="C44" s="2" t="s">
        <v>232</v>
      </c>
      <c r="D44" s="7" t="s">
        <v>243</v>
      </c>
      <c r="E44" s="6" t="s">
        <v>243</v>
      </c>
      <c r="F44" s="2" t="s">
        <v>275</v>
      </c>
    </row>
    <row r="45" spans="1:6" x14ac:dyDescent="0.25">
      <c r="A45" s="6" t="s">
        <v>80</v>
      </c>
      <c r="B45" s="2" t="s">
        <v>246</v>
      </c>
      <c r="C45" s="2" t="s">
        <v>232</v>
      </c>
      <c r="D45" s="6" t="s">
        <v>244</v>
      </c>
      <c r="E45" s="6" t="s">
        <v>244</v>
      </c>
      <c r="F45" s="6"/>
    </row>
    <row r="46" spans="1:6" x14ac:dyDescent="0.25">
      <c r="A46" s="6" t="s">
        <v>81</v>
      </c>
      <c r="B46" s="2" t="s">
        <v>246</v>
      </c>
      <c r="C46" s="2" t="s">
        <v>232</v>
      </c>
      <c r="D46" s="6" t="s">
        <v>244</v>
      </c>
      <c r="E46" s="6" t="s">
        <v>244</v>
      </c>
      <c r="F46" s="6"/>
    </row>
    <row r="47" spans="1:6" x14ac:dyDescent="0.25">
      <c r="A47" s="6" t="s">
        <v>82</v>
      </c>
      <c r="B47" s="2" t="s">
        <v>246</v>
      </c>
      <c r="C47" s="2" t="s">
        <v>232</v>
      </c>
      <c r="D47" s="6" t="s">
        <v>244</v>
      </c>
      <c r="E47" s="6" t="s">
        <v>244</v>
      </c>
      <c r="F47" s="6"/>
    </row>
    <row r="48" spans="1:6" x14ac:dyDescent="0.25">
      <c r="A48" s="6" t="s">
        <v>83</v>
      </c>
      <c r="B48" s="2" t="s">
        <v>246</v>
      </c>
      <c r="C48" s="2" t="s">
        <v>232</v>
      </c>
      <c r="D48" s="6" t="s">
        <v>244</v>
      </c>
      <c r="E48" s="6" t="s">
        <v>244</v>
      </c>
      <c r="F48" s="6"/>
    </row>
    <row r="49" spans="1:6" x14ac:dyDescent="0.25">
      <c r="A49" s="6" t="s">
        <v>84</v>
      </c>
      <c r="B49" s="2" t="s">
        <v>246</v>
      </c>
      <c r="C49" s="2" t="s">
        <v>232</v>
      </c>
      <c r="D49" s="6" t="s">
        <v>244</v>
      </c>
      <c r="E49" s="6" t="s">
        <v>244</v>
      </c>
      <c r="F49" s="6"/>
    </row>
    <row r="50" spans="1:6" x14ac:dyDescent="0.25">
      <c r="A50" s="6" t="s">
        <v>85</v>
      </c>
      <c r="B50" s="2" t="s">
        <v>246</v>
      </c>
      <c r="C50" s="2" t="s">
        <v>232</v>
      </c>
      <c r="D50" s="6" t="s">
        <v>243</v>
      </c>
      <c r="E50" s="6" t="s">
        <v>244</v>
      </c>
      <c r="F50" s="6" t="s">
        <v>247</v>
      </c>
    </row>
    <row r="51" spans="1:6" x14ac:dyDescent="0.25">
      <c r="A51" s="6" t="s">
        <v>86</v>
      </c>
      <c r="B51" s="2" t="s">
        <v>246</v>
      </c>
      <c r="C51" s="2" t="s">
        <v>232</v>
      </c>
      <c r="D51" s="6" t="s">
        <v>244</v>
      </c>
      <c r="E51" s="6" t="s">
        <v>244</v>
      </c>
      <c r="F51" s="6"/>
    </row>
    <row r="52" spans="1:6" x14ac:dyDescent="0.25">
      <c r="A52" s="6" t="s">
        <v>87</v>
      </c>
      <c r="B52" s="2" t="s">
        <v>246</v>
      </c>
      <c r="C52" s="2" t="s">
        <v>232</v>
      </c>
      <c r="D52" s="6" t="s">
        <v>244</v>
      </c>
      <c r="E52" s="6" t="s">
        <v>244</v>
      </c>
      <c r="F52" s="6"/>
    </row>
    <row r="53" spans="1:6" x14ac:dyDescent="0.25">
      <c r="A53" s="6" t="s">
        <v>94</v>
      </c>
      <c r="B53" s="2" t="s">
        <v>246</v>
      </c>
      <c r="C53" s="2" t="s">
        <v>232</v>
      </c>
      <c r="D53" s="6" t="s">
        <v>243</v>
      </c>
      <c r="E53" s="6" t="s">
        <v>244</v>
      </c>
      <c r="F53" s="6" t="s">
        <v>248</v>
      </c>
    </row>
    <row r="54" spans="1:6" x14ac:dyDescent="0.25">
      <c r="A54" s="6" t="s">
        <v>95</v>
      </c>
      <c r="B54" s="2" t="s">
        <v>246</v>
      </c>
      <c r="C54" s="2" t="s">
        <v>232</v>
      </c>
      <c r="D54" s="6" t="s">
        <v>243</v>
      </c>
      <c r="E54" s="6" t="s">
        <v>244</v>
      </c>
      <c r="F54" s="6" t="s">
        <v>248</v>
      </c>
    </row>
    <row r="55" spans="1:6" x14ac:dyDescent="0.25">
      <c r="A55" s="6" t="s">
        <v>96</v>
      </c>
      <c r="B55" s="2" t="s">
        <v>246</v>
      </c>
      <c r="C55" s="2" t="s">
        <v>232</v>
      </c>
      <c r="D55" s="6" t="s">
        <v>243</v>
      </c>
      <c r="E55" s="6" t="s">
        <v>244</v>
      </c>
      <c r="F55" s="6" t="s">
        <v>248</v>
      </c>
    </row>
    <row r="56" spans="1:6" x14ac:dyDescent="0.25">
      <c r="A56" s="6" t="s">
        <v>97</v>
      </c>
      <c r="B56" s="2" t="s">
        <v>246</v>
      </c>
      <c r="C56" s="2" t="s">
        <v>232</v>
      </c>
      <c r="D56" s="6" t="s">
        <v>243</v>
      </c>
      <c r="E56" s="6" t="s">
        <v>244</v>
      </c>
      <c r="F56" s="6" t="s">
        <v>247</v>
      </c>
    </row>
    <row r="57" spans="1:6" x14ac:dyDescent="0.25">
      <c r="A57" s="6" t="s">
        <v>99</v>
      </c>
      <c r="B57" s="2" t="s">
        <v>246</v>
      </c>
      <c r="C57" s="2" t="s">
        <v>232</v>
      </c>
      <c r="D57" s="6" t="s">
        <v>244</v>
      </c>
      <c r="E57" s="6" t="s">
        <v>244</v>
      </c>
      <c r="F57" s="6"/>
    </row>
    <row r="58" spans="1:6" x14ac:dyDescent="0.25">
      <c r="A58" s="6" t="s">
        <v>101</v>
      </c>
      <c r="B58" s="2" t="s">
        <v>246</v>
      </c>
      <c r="C58" s="2" t="s">
        <v>232</v>
      </c>
      <c r="D58" s="6" t="s">
        <v>244</v>
      </c>
      <c r="E58" s="6" t="s">
        <v>244</v>
      </c>
      <c r="F58" s="6"/>
    </row>
    <row r="59" spans="1:6" x14ac:dyDescent="0.25">
      <c r="A59" s="6" t="s">
        <v>104</v>
      </c>
      <c r="B59" s="2" t="s">
        <v>246</v>
      </c>
      <c r="C59" s="2" t="s">
        <v>232</v>
      </c>
      <c r="D59" s="6" t="s">
        <v>243</v>
      </c>
      <c r="E59" s="6" t="s">
        <v>244</v>
      </c>
      <c r="F59" s="6" t="s">
        <v>247</v>
      </c>
    </row>
    <row r="60" spans="1:6" x14ac:dyDescent="0.25">
      <c r="A60" s="6" t="s">
        <v>105</v>
      </c>
      <c r="B60" s="2" t="s">
        <v>246</v>
      </c>
      <c r="C60" s="2" t="s">
        <v>232</v>
      </c>
      <c r="D60" s="6" t="s">
        <v>243</v>
      </c>
      <c r="E60" s="6" t="s">
        <v>244</v>
      </c>
      <c r="F60" s="6" t="s">
        <v>247</v>
      </c>
    </row>
    <row r="61" spans="1:6" x14ac:dyDescent="0.25">
      <c r="A61" s="6" t="s">
        <v>106</v>
      </c>
      <c r="B61" s="2" t="s">
        <v>246</v>
      </c>
      <c r="C61" s="2" t="s">
        <v>232</v>
      </c>
      <c r="D61" s="6" t="s">
        <v>243</v>
      </c>
      <c r="E61" s="6" t="s">
        <v>244</v>
      </c>
      <c r="F61" s="6" t="s">
        <v>247</v>
      </c>
    </row>
    <row r="62" spans="1:6" x14ac:dyDescent="0.25">
      <c r="A62" s="6" t="s">
        <v>107</v>
      </c>
      <c r="B62" s="2" t="s">
        <v>246</v>
      </c>
      <c r="C62" s="2" t="s">
        <v>232</v>
      </c>
      <c r="D62" s="6" t="s">
        <v>243</v>
      </c>
      <c r="E62" s="6" t="s">
        <v>244</v>
      </c>
      <c r="F62" s="6" t="s">
        <v>247</v>
      </c>
    </row>
    <row r="63" spans="1:6" ht="30" x14ac:dyDescent="0.25">
      <c r="A63" s="6" t="s">
        <v>112</v>
      </c>
      <c r="B63" s="2" t="s">
        <v>246</v>
      </c>
      <c r="C63" s="2" t="s">
        <v>232</v>
      </c>
      <c r="D63" s="7" t="s">
        <v>243</v>
      </c>
      <c r="E63" s="6" t="s">
        <v>243</v>
      </c>
      <c r="F63" s="2" t="s">
        <v>275</v>
      </c>
    </row>
    <row r="64" spans="1:6" x14ac:dyDescent="0.25">
      <c r="A64" s="6" t="s">
        <v>113</v>
      </c>
      <c r="B64" s="2" t="s">
        <v>246</v>
      </c>
      <c r="C64" s="2" t="s">
        <v>232</v>
      </c>
      <c r="D64" s="6" t="s">
        <v>244</v>
      </c>
      <c r="E64" s="6" t="s">
        <v>244</v>
      </c>
      <c r="F64" s="6"/>
    </row>
    <row r="65" spans="1:6" x14ac:dyDescent="0.25">
      <c r="A65" s="6" t="s">
        <v>114</v>
      </c>
      <c r="B65" s="2" t="s">
        <v>246</v>
      </c>
      <c r="C65" s="2" t="s">
        <v>232</v>
      </c>
      <c r="D65" s="6" t="s">
        <v>244</v>
      </c>
      <c r="E65" s="6" t="s">
        <v>244</v>
      </c>
      <c r="F65" s="6"/>
    </row>
    <row r="66" spans="1:6" x14ac:dyDescent="0.25">
      <c r="A66" s="6" t="s">
        <v>115</v>
      </c>
      <c r="B66" s="2" t="s">
        <v>246</v>
      </c>
      <c r="C66" s="2" t="s">
        <v>232</v>
      </c>
      <c r="D66" s="6" t="s">
        <v>244</v>
      </c>
      <c r="E66" s="6" t="s">
        <v>244</v>
      </c>
      <c r="F66" s="6"/>
    </row>
    <row r="67" spans="1:6" x14ac:dyDescent="0.25">
      <c r="A67" s="6" t="s">
        <v>116</v>
      </c>
      <c r="B67" s="2" t="s">
        <v>246</v>
      </c>
      <c r="C67" s="2" t="s">
        <v>232</v>
      </c>
      <c r="D67" s="6" t="s">
        <v>244</v>
      </c>
      <c r="E67" s="6" t="s">
        <v>244</v>
      </c>
      <c r="F67" s="6"/>
    </row>
    <row r="68" spans="1:6" x14ac:dyDescent="0.25">
      <c r="A68" s="6" t="s">
        <v>117</v>
      </c>
      <c r="B68" s="2" t="s">
        <v>246</v>
      </c>
      <c r="C68" s="2" t="s">
        <v>232</v>
      </c>
      <c r="D68" s="6" t="s">
        <v>244</v>
      </c>
      <c r="E68" s="6" t="s">
        <v>244</v>
      </c>
      <c r="F68" s="6"/>
    </row>
    <row r="69" spans="1:6" x14ac:dyDescent="0.25">
      <c r="A69" s="6" t="s">
        <v>118</v>
      </c>
      <c r="B69" s="2" t="s">
        <v>246</v>
      </c>
      <c r="C69" s="2" t="s">
        <v>232</v>
      </c>
      <c r="D69" s="6" t="s">
        <v>243</v>
      </c>
      <c r="E69" s="6" t="s">
        <v>244</v>
      </c>
      <c r="F69" s="6" t="s">
        <v>247</v>
      </c>
    </row>
    <row r="70" spans="1:6" x14ac:dyDescent="0.25">
      <c r="A70" s="6" t="s">
        <v>119</v>
      </c>
      <c r="B70" s="2" t="s">
        <v>246</v>
      </c>
      <c r="C70" s="2" t="s">
        <v>232</v>
      </c>
      <c r="D70" s="6" t="s">
        <v>244</v>
      </c>
      <c r="E70" s="6" t="s">
        <v>244</v>
      </c>
      <c r="F70" s="6"/>
    </row>
    <row r="71" spans="1:6" x14ac:dyDescent="0.25">
      <c r="A71" s="6" t="s">
        <v>120</v>
      </c>
      <c r="B71" s="2" t="s">
        <v>246</v>
      </c>
      <c r="C71" s="2" t="s">
        <v>232</v>
      </c>
      <c r="D71" s="6" t="s">
        <v>244</v>
      </c>
      <c r="E71" s="6" t="s">
        <v>244</v>
      </c>
      <c r="F71" s="6"/>
    </row>
    <row r="72" spans="1:6" x14ac:dyDescent="0.25">
      <c r="A72" s="6" t="s">
        <v>127</v>
      </c>
      <c r="B72" s="2" t="s">
        <v>246</v>
      </c>
      <c r="C72" s="2" t="s">
        <v>232</v>
      </c>
      <c r="D72" s="6" t="s">
        <v>243</v>
      </c>
      <c r="E72" s="6" t="s">
        <v>244</v>
      </c>
      <c r="F72" s="6" t="s">
        <v>248</v>
      </c>
    </row>
    <row r="73" spans="1:6" x14ac:dyDescent="0.25">
      <c r="A73" s="6" t="s">
        <v>128</v>
      </c>
      <c r="B73" s="2" t="s">
        <v>246</v>
      </c>
      <c r="C73" s="2" t="s">
        <v>232</v>
      </c>
      <c r="D73" s="6" t="s">
        <v>243</v>
      </c>
      <c r="E73" s="6" t="s">
        <v>244</v>
      </c>
      <c r="F73" s="6" t="s">
        <v>248</v>
      </c>
    </row>
    <row r="74" spans="1:6" x14ac:dyDescent="0.25">
      <c r="A74" s="6" t="s">
        <v>129</v>
      </c>
      <c r="B74" s="2" t="s">
        <v>246</v>
      </c>
      <c r="C74" s="2" t="s">
        <v>232</v>
      </c>
      <c r="D74" s="6" t="s">
        <v>243</v>
      </c>
      <c r="E74" s="6" t="s">
        <v>244</v>
      </c>
      <c r="F74" s="6" t="s">
        <v>248</v>
      </c>
    </row>
    <row r="75" spans="1:6" x14ac:dyDescent="0.25">
      <c r="A75" s="6" t="s">
        <v>130</v>
      </c>
      <c r="B75" s="2" t="s">
        <v>246</v>
      </c>
      <c r="C75" s="2" t="s">
        <v>232</v>
      </c>
      <c r="D75" s="6" t="s">
        <v>243</v>
      </c>
      <c r="E75" s="6" t="s">
        <v>244</v>
      </c>
      <c r="F75" s="6" t="s">
        <v>247</v>
      </c>
    </row>
    <row r="76" spans="1:6" x14ac:dyDescent="0.25">
      <c r="A76" s="6" t="s">
        <v>132</v>
      </c>
      <c r="B76" s="2" t="s">
        <v>246</v>
      </c>
      <c r="C76" s="2" t="s">
        <v>232</v>
      </c>
      <c r="D76" s="6" t="s">
        <v>244</v>
      </c>
      <c r="E76" s="6" t="s">
        <v>244</v>
      </c>
      <c r="F76" s="6"/>
    </row>
    <row r="77" spans="1:6" x14ac:dyDescent="0.25">
      <c r="A77" s="6" t="s">
        <v>134</v>
      </c>
      <c r="B77" s="2" t="s">
        <v>246</v>
      </c>
      <c r="C77" s="2" t="s">
        <v>232</v>
      </c>
      <c r="D77" s="6" t="s">
        <v>244</v>
      </c>
      <c r="E77" s="6" t="s">
        <v>244</v>
      </c>
      <c r="F77" s="6"/>
    </row>
    <row r="78" spans="1:6" x14ac:dyDescent="0.25">
      <c r="A78" s="6" t="s">
        <v>137</v>
      </c>
      <c r="B78" s="2" t="s">
        <v>246</v>
      </c>
      <c r="C78" s="2" t="s">
        <v>232</v>
      </c>
      <c r="D78" s="6" t="s">
        <v>243</v>
      </c>
      <c r="E78" s="6" t="s">
        <v>244</v>
      </c>
      <c r="F78" s="6" t="s">
        <v>247</v>
      </c>
    </row>
    <row r="79" spans="1:6" x14ac:dyDescent="0.25">
      <c r="A79" s="6" t="s">
        <v>138</v>
      </c>
      <c r="B79" s="2" t="s">
        <v>246</v>
      </c>
      <c r="C79" s="2" t="s">
        <v>232</v>
      </c>
      <c r="D79" s="6" t="s">
        <v>243</v>
      </c>
      <c r="E79" s="6" t="s">
        <v>244</v>
      </c>
      <c r="F79" s="6" t="s">
        <v>247</v>
      </c>
    </row>
    <row r="80" spans="1:6" x14ac:dyDescent="0.25">
      <c r="A80" s="6" t="s">
        <v>139</v>
      </c>
      <c r="B80" s="2" t="s">
        <v>246</v>
      </c>
      <c r="C80" s="2" t="s">
        <v>232</v>
      </c>
      <c r="D80" s="6" t="s">
        <v>243</v>
      </c>
      <c r="E80" s="6" t="s">
        <v>244</v>
      </c>
      <c r="F80" s="6" t="s">
        <v>247</v>
      </c>
    </row>
    <row r="81" spans="1:6" x14ac:dyDescent="0.25">
      <c r="A81" s="6" t="s">
        <v>140</v>
      </c>
      <c r="B81" s="2" t="s">
        <v>246</v>
      </c>
      <c r="C81" s="2" t="s">
        <v>232</v>
      </c>
      <c r="D81" s="6" t="s">
        <v>243</v>
      </c>
      <c r="E81" s="6" t="s">
        <v>244</v>
      </c>
      <c r="F81" s="6" t="s">
        <v>247</v>
      </c>
    </row>
    <row r="82" spans="1:6" ht="30" x14ac:dyDescent="0.25">
      <c r="A82" s="6" t="s">
        <v>142</v>
      </c>
      <c r="B82" s="2" t="s">
        <v>246</v>
      </c>
      <c r="C82" s="2" t="s">
        <v>232</v>
      </c>
      <c r="D82" s="7" t="s">
        <v>243</v>
      </c>
      <c r="E82" s="6" t="s">
        <v>243</v>
      </c>
      <c r="F82" s="2" t="s">
        <v>275</v>
      </c>
    </row>
    <row r="83" spans="1:6" x14ac:dyDescent="0.25">
      <c r="A83" s="6" t="s">
        <v>143</v>
      </c>
      <c r="B83" s="2" t="s">
        <v>246</v>
      </c>
      <c r="C83" s="2" t="s">
        <v>232</v>
      </c>
      <c r="D83" s="6" t="s">
        <v>244</v>
      </c>
      <c r="E83" s="6" t="s">
        <v>244</v>
      </c>
      <c r="F83" s="6"/>
    </row>
    <row r="84" spans="1:6" x14ac:dyDescent="0.25">
      <c r="A84" s="6" t="s">
        <v>144</v>
      </c>
      <c r="B84" s="2" t="s">
        <v>246</v>
      </c>
      <c r="C84" s="2" t="s">
        <v>232</v>
      </c>
      <c r="D84" s="6" t="s">
        <v>244</v>
      </c>
      <c r="E84" s="6" t="s">
        <v>244</v>
      </c>
      <c r="F84" s="6"/>
    </row>
    <row r="85" spans="1:6" x14ac:dyDescent="0.25">
      <c r="A85" s="6" t="s">
        <v>145</v>
      </c>
      <c r="B85" s="2" t="s">
        <v>246</v>
      </c>
      <c r="C85" s="2" t="s">
        <v>232</v>
      </c>
      <c r="D85" s="6" t="s">
        <v>244</v>
      </c>
      <c r="E85" s="6" t="s">
        <v>244</v>
      </c>
      <c r="F85" s="6"/>
    </row>
    <row r="86" spans="1:6" x14ac:dyDescent="0.25">
      <c r="A86" s="6" t="s">
        <v>146</v>
      </c>
      <c r="B86" s="2" t="s">
        <v>246</v>
      </c>
      <c r="C86" s="2" t="s">
        <v>232</v>
      </c>
      <c r="D86" s="6" t="s">
        <v>244</v>
      </c>
      <c r="E86" s="6" t="s">
        <v>244</v>
      </c>
      <c r="F86" s="6"/>
    </row>
    <row r="87" spans="1:6" x14ac:dyDescent="0.25">
      <c r="A87" s="6" t="s">
        <v>147</v>
      </c>
      <c r="B87" s="2" t="s">
        <v>246</v>
      </c>
      <c r="C87" s="2" t="s">
        <v>232</v>
      </c>
      <c r="D87" s="6" t="s">
        <v>244</v>
      </c>
      <c r="E87" s="6" t="s">
        <v>244</v>
      </c>
      <c r="F87" s="6"/>
    </row>
    <row r="88" spans="1:6" x14ac:dyDescent="0.25">
      <c r="A88" s="6" t="s">
        <v>148</v>
      </c>
      <c r="B88" s="2" t="s">
        <v>246</v>
      </c>
      <c r="C88" s="2" t="s">
        <v>232</v>
      </c>
      <c r="D88" s="6" t="s">
        <v>243</v>
      </c>
      <c r="E88" s="6" t="s">
        <v>244</v>
      </c>
      <c r="F88" s="6" t="s">
        <v>247</v>
      </c>
    </row>
    <row r="89" spans="1:6" x14ac:dyDescent="0.25">
      <c r="A89" s="6" t="s">
        <v>149</v>
      </c>
      <c r="B89" s="2" t="s">
        <v>246</v>
      </c>
      <c r="C89" s="2" t="s">
        <v>232</v>
      </c>
      <c r="D89" s="6" t="s">
        <v>244</v>
      </c>
      <c r="E89" s="6" t="s">
        <v>244</v>
      </c>
      <c r="F89" s="6"/>
    </row>
    <row r="90" spans="1:6" x14ac:dyDescent="0.25">
      <c r="A90" s="6" t="s">
        <v>150</v>
      </c>
      <c r="B90" s="2" t="s">
        <v>246</v>
      </c>
      <c r="C90" s="2" t="s">
        <v>232</v>
      </c>
      <c r="D90" s="6" t="s">
        <v>244</v>
      </c>
      <c r="E90" s="6" t="s">
        <v>244</v>
      </c>
      <c r="F90" s="6"/>
    </row>
    <row r="91" spans="1:6" x14ac:dyDescent="0.25">
      <c r="A91" s="6" t="s">
        <v>157</v>
      </c>
      <c r="B91" s="2" t="s">
        <v>246</v>
      </c>
      <c r="C91" s="2" t="s">
        <v>232</v>
      </c>
      <c r="D91" s="6" t="s">
        <v>243</v>
      </c>
      <c r="E91" s="6" t="s">
        <v>244</v>
      </c>
      <c r="F91" s="6" t="s">
        <v>248</v>
      </c>
    </row>
    <row r="92" spans="1:6" x14ac:dyDescent="0.25">
      <c r="A92" s="6" t="s">
        <v>158</v>
      </c>
      <c r="B92" s="2" t="s">
        <v>246</v>
      </c>
      <c r="C92" s="2" t="s">
        <v>232</v>
      </c>
      <c r="D92" s="6" t="s">
        <v>243</v>
      </c>
      <c r="E92" s="6" t="s">
        <v>244</v>
      </c>
      <c r="F92" s="6" t="s">
        <v>248</v>
      </c>
    </row>
    <row r="93" spans="1:6" x14ac:dyDescent="0.25">
      <c r="A93" s="6" t="s">
        <v>159</v>
      </c>
      <c r="B93" s="2" t="s">
        <v>246</v>
      </c>
      <c r="C93" s="2" t="s">
        <v>232</v>
      </c>
      <c r="D93" s="6" t="s">
        <v>243</v>
      </c>
      <c r="E93" s="6" t="s">
        <v>244</v>
      </c>
      <c r="F93" s="6" t="s">
        <v>248</v>
      </c>
    </row>
    <row r="94" spans="1:6" x14ac:dyDescent="0.25">
      <c r="A94" s="6" t="s">
        <v>160</v>
      </c>
      <c r="B94" s="2" t="s">
        <v>246</v>
      </c>
      <c r="C94" s="2" t="s">
        <v>232</v>
      </c>
      <c r="D94" s="6" t="s">
        <v>244</v>
      </c>
      <c r="E94" s="6" t="s">
        <v>244</v>
      </c>
      <c r="F94" s="6"/>
    </row>
    <row r="95" spans="1:6" x14ac:dyDescent="0.25">
      <c r="A95" s="6" t="s">
        <v>161</v>
      </c>
      <c r="B95" s="2" t="s">
        <v>246</v>
      </c>
      <c r="C95" s="2" t="s">
        <v>232</v>
      </c>
      <c r="D95" s="6" t="s">
        <v>244</v>
      </c>
      <c r="E95" s="6" t="s">
        <v>244</v>
      </c>
      <c r="F95" s="6"/>
    </row>
    <row r="96" spans="1:6" x14ac:dyDescent="0.25">
      <c r="A96" s="6" t="s">
        <v>162</v>
      </c>
      <c r="B96" s="2" t="s">
        <v>246</v>
      </c>
      <c r="C96" s="2" t="s">
        <v>232</v>
      </c>
      <c r="D96" s="6" t="s">
        <v>244</v>
      </c>
      <c r="E96" s="6" t="s">
        <v>244</v>
      </c>
      <c r="F96" s="6"/>
    </row>
    <row r="97" spans="1:6" x14ac:dyDescent="0.25">
      <c r="A97" s="6" t="s">
        <v>163</v>
      </c>
      <c r="B97" s="2" t="s">
        <v>246</v>
      </c>
      <c r="C97" s="2" t="s">
        <v>232</v>
      </c>
      <c r="D97" s="6" t="s">
        <v>244</v>
      </c>
      <c r="E97" s="6" t="s">
        <v>244</v>
      </c>
      <c r="F97" s="6"/>
    </row>
    <row r="98" spans="1:6" x14ac:dyDescent="0.25">
      <c r="A98" s="6" t="s">
        <v>164</v>
      </c>
      <c r="B98" s="2" t="s">
        <v>246</v>
      </c>
      <c r="C98" s="2" t="s">
        <v>232</v>
      </c>
      <c r="D98" s="6" t="s">
        <v>244</v>
      </c>
      <c r="E98" s="6" t="s">
        <v>244</v>
      </c>
      <c r="F98" s="6"/>
    </row>
    <row r="99" spans="1:6" x14ac:dyDescent="0.25">
      <c r="A99" s="6" t="s">
        <v>165</v>
      </c>
      <c r="B99" s="2" t="s">
        <v>246</v>
      </c>
      <c r="C99" s="2" t="s">
        <v>232</v>
      </c>
      <c r="D99" s="6" t="s">
        <v>243</v>
      </c>
      <c r="E99" s="6" t="s">
        <v>244</v>
      </c>
      <c r="F99" s="6" t="s">
        <v>247</v>
      </c>
    </row>
    <row r="100" spans="1:6" x14ac:dyDescent="0.25">
      <c r="A100" s="6" t="s">
        <v>167</v>
      </c>
      <c r="B100" s="2" t="s">
        <v>246</v>
      </c>
      <c r="C100" s="2" t="s">
        <v>232</v>
      </c>
      <c r="D100" s="6" t="s">
        <v>244</v>
      </c>
      <c r="E100" s="6" t="s">
        <v>244</v>
      </c>
      <c r="F100" s="6"/>
    </row>
    <row r="101" spans="1:6" x14ac:dyDescent="0.25">
      <c r="A101" s="6" t="s">
        <v>169</v>
      </c>
      <c r="B101" s="2" t="s">
        <v>246</v>
      </c>
      <c r="C101" s="2" t="s">
        <v>232</v>
      </c>
      <c r="D101" s="6" t="s">
        <v>244</v>
      </c>
      <c r="E101" s="6" t="s">
        <v>244</v>
      </c>
      <c r="F101" s="6"/>
    </row>
    <row r="102" spans="1:6" x14ac:dyDescent="0.25">
      <c r="A102" s="6" t="s">
        <v>172</v>
      </c>
      <c r="B102" s="2" t="s">
        <v>246</v>
      </c>
      <c r="C102" s="2" t="s">
        <v>232</v>
      </c>
      <c r="D102" s="6" t="s">
        <v>243</v>
      </c>
      <c r="E102" s="6" t="s">
        <v>244</v>
      </c>
      <c r="F102" s="6" t="s">
        <v>247</v>
      </c>
    </row>
    <row r="103" spans="1:6" x14ac:dyDescent="0.25">
      <c r="A103" s="6" t="s">
        <v>173</v>
      </c>
      <c r="B103" s="2" t="s">
        <v>246</v>
      </c>
      <c r="C103" s="2" t="s">
        <v>232</v>
      </c>
      <c r="D103" s="6" t="s">
        <v>243</v>
      </c>
      <c r="E103" s="6" t="s">
        <v>244</v>
      </c>
      <c r="F103" s="6" t="s">
        <v>247</v>
      </c>
    </row>
    <row r="104" spans="1:6" x14ac:dyDescent="0.25">
      <c r="A104" s="6" t="s">
        <v>174</v>
      </c>
      <c r="B104" s="2" t="s">
        <v>246</v>
      </c>
      <c r="C104" s="2" t="s">
        <v>232</v>
      </c>
      <c r="D104" s="6" t="s">
        <v>243</v>
      </c>
      <c r="E104" s="6" t="s">
        <v>244</v>
      </c>
      <c r="F104" s="6" t="s">
        <v>247</v>
      </c>
    </row>
    <row r="105" spans="1:6" x14ac:dyDescent="0.25">
      <c r="A105" s="6" t="s">
        <v>175</v>
      </c>
      <c r="B105" s="2" t="s">
        <v>246</v>
      </c>
      <c r="C105" s="2" t="s">
        <v>232</v>
      </c>
      <c r="D105" s="6" t="s">
        <v>243</v>
      </c>
      <c r="E105" s="6" t="s">
        <v>244</v>
      </c>
      <c r="F105" s="6" t="s">
        <v>247</v>
      </c>
    </row>
    <row r="106" spans="1:6" ht="30" x14ac:dyDescent="0.25">
      <c r="A106" s="6" t="s">
        <v>177</v>
      </c>
      <c r="B106" s="2" t="s">
        <v>246</v>
      </c>
      <c r="C106" s="2" t="s">
        <v>232</v>
      </c>
      <c r="D106" s="7" t="s">
        <v>243</v>
      </c>
      <c r="E106" s="6" t="s">
        <v>243</v>
      </c>
      <c r="F106" s="2" t="s">
        <v>275</v>
      </c>
    </row>
    <row r="107" spans="1:6" x14ac:dyDescent="0.25">
      <c r="A107" s="6" t="s">
        <v>178</v>
      </c>
      <c r="B107" s="2" t="s">
        <v>246</v>
      </c>
      <c r="C107" s="2" t="s">
        <v>232</v>
      </c>
      <c r="D107" s="6" t="s">
        <v>244</v>
      </c>
      <c r="E107" s="6" t="s">
        <v>244</v>
      </c>
      <c r="F107" s="6"/>
    </row>
    <row r="108" spans="1:6" x14ac:dyDescent="0.25">
      <c r="A108" s="6" t="s">
        <v>179</v>
      </c>
      <c r="B108" s="2" t="s">
        <v>246</v>
      </c>
      <c r="C108" s="2" t="s">
        <v>232</v>
      </c>
      <c r="D108" s="6" t="s">
        <v>244</v>
      </c>
      <c r="E108" s="6" t="s">
        <v>244</v>
      </c>
      <c r="F108" s="6"/>
    </row>
    <row r="109" spans="1:6" x14ac:dyDescent="0.25">
      <c r="A109" s="6" t="s">
        <v>180</v>
      </c>
      <c r="B109" s="2" t="s">
        <v>246</v>
      </c>
      <c r="C109" s="2" t="s">
        <v>232</v>
      </c>
      <c r="D109" s="6" t="s">
        <v>244</v>
      </c>
      <c r="E109" s="6" t="s">
        <v>244</v>
      </c>
      <c r="F109" s="6"/>
    </row>
    <row r="110" spans="1:6" x14ac:dyDescent="0.25">
      <c r="A110" s="6" t="s">
        <v>181</v>
      </c>
      <c r="B110" s="2" t="s">
        <v>246</v>
      </c>
      <c r="C110" s="2" t="s">
        <v>232</v>
      </c>
      <c r="D110" s="8" t="s">
        <v>243</v>
      </c>
      <c r="E110" s="7" t="s">
        <v>243</v>
      </c>
      <c r="F110" s="6" t="s">
        <v>247</v>
      </c>
    </row>
    <row r="111" spans="1:6" x14ac:dyDescent="0.25">
      <c r="A111" s="6" t="s">
        <v>182</v>
      </c>
      <c r="B111" s="2" t="s">
        <v>246</v>
      </c>
      <c r="C111" s="2" t="s">
        <v>232</v>
      </c>
      <c r="D111" s="6" t="s">
        <v>244</v>
      </c>
      <c r="E111" s="6" t="s">
        <v>244</v>
      </c>
      <c r="F111" s="6"/>
    </row>
    <row r="112" spans="1:6" x14ac:dyDescent="0.25">
      <c r="A112" s="6" t="s">
        <v>183</v>
      </c>
      <c r="B112" s="2" t="s">
        <v>246</v>
      </c>
      <c r="C112" s="2" t="s">
        <v>232</v>
      </c>
      <c r="D112" s="6" t="s">
        <v>244</v>
      </c>
      <c r="E112" s="6" t="s">
        <v>244</v>
      </c>
      <c r="F112" s="6"/>
    </row>
    <row r="113" spans="1:6" x14ac:dyDescent="0.25">
      <c r="A113" s="6" t="s">
        <v>188</v>
      </c>
      <c r="B113" s="2" t="s">
        <v>246</v>
      </c>
      <c r="C113" s="2" t="s">
        <v>232</v>
      </c>
      <c r="D113" s="6" t="s">
        <v>243</v>
      </c>
      <c r="E113" s="6" t="s">
        <v>244</v>
      </c>
      <c r="F113" s="7" t="s">
        <v>249</v>
      </c>
    </row>
    <row r="114" spans="1:6" x14ac:dyDescent="0.25">
      <c r="A114" s="6" t="s">
        <v>189</v>
      </c>
      <c r="B114" s="2" t="s">
        <v>246</v>
      </c>
      <c r="C114" s="2" t="s">
        <v>232</v>
      </c>
      <c r="D114" s="6" t="s">
        <v>243</v>
      </c>
      <c r="E114" s="6" t="s">
        <v>244</v>
      </c>
      <c r="F114" s="7" t="s">
        <v>249</v>
      </c>
    </row>
    <row r="115" spans="1:6" x14ac:dyDescent="0.25">
      <c r="A115" s="6" t="s">
        <v>190</v>
      </c>
      <c r="B115" s="2" t="s">
        <v>246</v>
      </c>
      <c r="C115" s="2" t="s">
        <v>232</v>
      </c>
      <c r="D115" s="6" t="s">
        <v>243</v>
      </c>
      <c r="E115" s="6" t="s">
        <v>244</v>
      </c>
      <c r="F115" s="7" t="s">
        <v>249</v>
      </c>
    </row>
    <row r="116" spans="1:6" x14ac:dyDescent="0.25">
      <c r="A116" s="6" t="s">
        <v>191</v>
      </c>
      <c r="B116" s="2" t="s">
        <v>246</v>
      </c>
      <c r="C116" s="2" t="s">
        <v>232</v>
      </c>
      <c r="D116" s="6" t="s">
        <v>243</v>
      </c>
      <c r="E116" s="6" t="s">
        <v>244</v>
      </c>
      <c r="F116" s="7" t="s">
        <v>249</v>
      </c>
    </row>
    <row r="117" spans="1:6" x14ac:dyDescent="0.25">
      <c r="A117" s="6" t="s">
        <v>192</v>
      </c>
      <c r="B117" s="2" t="s">
        <v>246</v>
      </c>
      <c r="C117" s="2" t="s">
        <v>232</v>
      </c>
      <c r="D117" s="6" t="s">
        <v>243</v>
      </c>
      <c r="E117" s="6" t="s">
        <v>244</v>
      </c>
      <c r="F117" s="7" t="s">
        <v>249</v>
      </c>
    </row>
    <row r="118" spans="1:6" x14ac:dyDescent="0.25">
      <c r="A118" s="6" t="s">
        <v>193</v>
      </c>
      <c r="B118" s="2" t="s">
        <v>246</v>
      </c>
      <c r="C118" s="2" t="s">
        <v>232</v>
      </c>
      <c r="D118" s="6" t="s">
        <v>243</v>
      </c>
      <c r="E118" s="6" t="s">
        <v>244</v>
      </c>
      <c r="F118" s="7" t="s">
        <v>249</v>
      </c>
    </row>
    <row r="119" spans="1:6" x14ac:dyDescent="0.25">
      <c r="A119" s="6" t="s">
        <v>194</v>
      </c>
      <c r="B119" s="2" t="s">
        <v>246</v>
      </c>
      <c r="C119" s="2" t="s">
        <v>232</v>
      </c>
      <c r="D119" s="8" t="s">
        <v>243</v>
      </c>
      <c r="E119" s="7" t="s">
        <v>243</v>
      </c>
      <c r="F119" s="6" t="s">
        <v>247</v>
      </c>
    </row>
    <row r="120" spans="1:6" ht="30" x14ac:dyDescent="0.25">
      <c r="A120" s="6" t="s">
        <v>196</v>
      </c>
      <c r="B120" s="2" t="s">
        <v>246</v>
      </c>
      <c r="C120" s="2" t="s">
        <v>232</v>
      </c>
      <c r="D120" s="7" t="s">
        <v>243</v>
      </c>
      <c r="E120" s="6" t="s">
        <v>243</v>
      </c>
      <c r="F120" s="2" t="s">
        <v>275</v>
      </c>
    </row>
    <row r="121" spans="1:6" x14ac:dyDescent="0.25">
      <c r="A121" s="6" t="s">
        <v>198</v>
      </c>
      <c r="B121" s="2" t="s">
        <v>246</v>
      </c>
      <c r="C121" s="2" t="s">
        <v>232</v>
      </c>
      <c r="D121" s="6" t="s">
        <v>243</v>
      </c>
      <c r="E121" s="6" t="s">
        <v>244</v>
      </c>
      <c r="F121" s="7" t="s">
        <v>249</v>
      </c>
    </row>
    <row r="122" spans="1:6" x14ac:dyDescent="0.25">
      <c r="A122" s="6" t="s">
        <v>201</v>
      </c>
      <c r="B122" s="2" t="s">
        <v>246</v>
      </c>
      <c r="C122" s="2" t="s">
        <v>232</v>
      </c>
      <c r="D122" s="8" t="s">
        <v>243</v>
      </c>
      <c r="E122" s="7" t="s">
        <v>243</v>
      </c>
      <c r="F122" s="6" t="s">
        <v>247</v>
      </c>
    </row>
    <row r="123" spans="1:6" x14ac:dyDescent="0.25">
      <c r="A123" s="6" t="s">
        <v>202</v>
      </c>
      <c r="B123" s="2" t="s">
        <v>246</v>
      </c>
      <c r="C123" s="2" t="s">
        <v>232</v>
      </c>
      <c r="D123" s="8" t="s">
        <v>243</v>
      </c>
      <c r="E123" s="7" t="s">
        <v>243</v>
      </c>
      <c r="F123" s="6" t="s">
        <v>247</v>
      </c>
    </row>
    <row r="124" spans="1:6" x14ac:dyDescent="0.25">
      <c r="A124" s="6" t="s">
        <v>203</v>
      </c>
      <c r="B124" s="2" t="s">
        <v>246</v>
      </c>
      <c r="C124" s="2" t="s">
        <v>232</v>
      </c>
      <c r="D124" s="8" t="s">
        <v>243</v>
      </c>
      <c r="E124" s="7" t="s">
        <v>243</v>
      </c>
      <c r="F124" s="6" t="s">
        <v>247</v>
      </c>
    </row>
    <row r="125" spans="1:6" x14ac:dyDescent="0.25">
      <c r="A125" s="6" t="s">
        <v>204</v>
      </c>
      <c r="B125" s="2" t="s">
        <v>246</v>
      </c>
      <c r="C125" s="2" t="s">
        <v>232</v>
      </c>
      <c r="D125" s="8" t="s">
        <v>243</v>
      </c>
      <c r="E125" s="7" t="s">
        <v>243</v>
      </c>
      <c r="F125" s="6" t="s">
        <v>247</v>
      </c>
    </row>
    <row r="126" spans="1:6" ht="30" x14ac:dyDescent="0.25">
      <c r="A126" s="6" t="s">
        <v>206</v>
      </c>
      <c r="B126" s="2" t="s">
        <v>246</v>
      </c>
      <c r="C126" s="2" t="s">
        <v>232</v>
      </c>
      <c r="D126" s="7" t="s">
        <v>243</v>
      </c>
      <c r="E126" s="6" t="s">
        <v>243</v>
      </c>
      <c r="F126" s="2" t="s">
        <v>275</v>
      </c>
    </row>
    <row r="127" spans="1:6" x14ac:dyDescent="0.25">
      <c r="A127" s="6" t="s">
        <v>207</v>
      </c>
      <c r="B127" s="2" t="s">
        <v>246</v>
      </c>
      <c r="C127" s="2" t="s">
        <v>232</v>
      </c>
      <c r="D127" s="6" t="s">
        <v>244</v>
      </c>
      <c r="E127" s="6" t="s">
        <v>244</v>
      </c>
      <c r="F127" s="6"/>
    </row>
    <row r="128" spans="1:6" x14ac:dyDescent="0.25">
      <c r="A128" s="6" t="s">
        <v>208</v>
      </c>
      <c r="B128" s="2" t="s">
        <v>246</v>
      </c>
      <c r="C128" s="2" t="s">
        <v>232</v>
      </c>
      <c r="D128" s="6" t="s">
        <v>244</v>
      </c>
      <c r="E128" s="6" t="s">
        <v>244</v>
      </c>
      <c r="F128" s="6"/>
    </row>
    <row r="129" spans="1:6" x14ac:dyDescent="0.25">
      <c r="A129" s="6" t="s">
        <v>209</v>
      </c>
      <c r="B129" s="2" t="s">
        <v>246</v>
      </c>
      <c r="C129" s="2" t="s">
        <v>232</v>
      </c>
      <c r="D129" s="6" t="s">
        <v>244</v>
      </c>
      <c r="E129" s="6" t="s">
        <v>244</v>
      </c>
      <c r="F129" s="6"/>
    </row>
    <row r="130" spans="1:6" x14ac:dyDescent="0.25">
      <c r="A130" s="6" t="s">
        <v>210</v>
      </c>
      <c r="B130" s="2" t="s">
        <v>246</v>
      </c>
      <c r="C130" s="2" t="s">
        <v>232</v>
      </c>
      <c r="D130" s="8" t="s">
        <v>243</v>
      </c>
      <c r="E130" s="7" t="s">
        <v>243</v>
      </c>
      <c r="F130" s="6" t="s">
        <v>247</v>
      </c>
    </row>
    <row r="131" spans="1:6" x14ac:dyDescent="0.25">
      <c r="A131" s="6" t="s">
        <v>211</v>
      </c>
      <c r="B131" s="2" t="s">
        <v>246</v>
      </c>
      <c r="C131" s="2" t="s">
        <v>232</v>
      </c>
      <c r="D131" s="6" t="s">
        <v>244</v>
      </c>
      <c r="E131" s="6" t="s">
        <v>244</v>
      </c>
      <c r="F131" s="6"/>
    </row>
    <row r="132" spans="1:6" x14ac:dyDescent="0.25">
      <c r="A132" s="6" t="s">
        <v>212</v>
      </c>
      <c r="B132" s="2" t="s">
        <v>246</v>
      </c>
      <c r="C132" s="2" t="s">
        <v>232</v>
      </c>
      <c r="D132" s="6" t="s">
        <v>244</v>
      </c>
      <c r="E132" s="6" t="s">
        <v>244</v>
      </c>
      <c r="F132" s="6"/>
    </row>
    <row r="133" spans="1:6" x14ac:dyDescent="0.25">
      <c r="A133" s="6" t="s">
        <v>217</v>
      </c>
      <c r="B133" s="2" t="s">
        <v>246</v>
      </c>
      <c r="C133" s="2" t="s">
        <v>232</v>
      </c>
      <c r="D133" s="6" t="s">
        <v>243</v>
      </c>
      <c r="E133" s="6" t="s">
        <v>244</v>
      </c>
      <c r="F133" s="7" t="s">
        <v>249</v>
      </c>
    </row>
    <row r="134" spans="1:6" x14ac:dyDescent="0.25">
      <c r="A134" s="6" t="s">
        <v>218</v>
      </c>
      <c r="B134" s="2" t="s">
        <v>246</v>
      </c>
      <c r="C134" s="2" t="s">
        <v>232</v>
      </c>
      <c r="D134" s="6" t="s">
        <v>243</v>
      </c>
      <c r="E134" s="6" t="s">
        <v>244</v>
      </c>
      <c r="F134" s="7" t="s">
        <v>249</v>
      </c>
    </row>
    <row r="135" spans="1:6" x14ac:dyDescent="0.25">
      <c r="A135" s="6" t="s">
        <v>219</v>
      </c>
      <c r="B135" s="2" t="s">
        <v>246</v>
      </c>
      <c r="C135" s="2" t="s">
        <v>232</v>
      </c>
      <c r="D135" s="6" t="s">
        <v>243</v>
      </c>
      <c r="E135" s="6" t="s">
        <v>244</v>
      </c>
      <c r="F135" s="6"/>
    </row>
    <row r="136" spans="1:6" x14ac:dyDescent="0.25">
      <c r="A136" s="6" t="s">
        <v>220</v>
      </c>
      <c r="B136" s="2" t="s">
        <v>246</v>
      </c>
      <c r="C136" s="2" t="s">
        <v>232</v>
      </c>
      <c r="D136" s="6" t="s">
        <v>243</v>
      </c>
      <c r="E136" s="6" t="s">
        <v>244</v>
      </c>
      <c r="F136" s="6"/>
    </row>
    <row r="137" spans="1:6" x14ac:dyDescent="0.25">
      <c r="A137" s="6" t="s">
        <v>221</v>
      </c>
      <c r="B137" s="2" t="s">
        <v>246</v>
      </c>
      <c r="C137" s="2" t="s">
        <v>232</v>
      </c>
      <c r="D137" s="8" t="s">
        <v>243</v>
      </c>
      <c r="E137" s="7" t="s">
        <v>243</v>
      </c>
      <c r="F137" s="6" t="s">
        <v>247</v>
      </c>
    </row>
    <row r="138" spans="1:6" ht="30" x14ac:dyDescent="0.25">
      <c r="A138" s="6" t="s">
        <v>223</v>
      </c>
      <c r="B138" s="2" t="s">
        <v>246</v>
      </c>
      <c r="C138" s="2" t="s">
        <v>232</v>
      </c>
      <c r="D138" s="7" t="s">
        <v>243</v>
      </c>
      <c r="E138" s="6" t="s">
        <v>243</v>
      </c>
      <c r="F138" s="2" t="s">
        <v>275</v>
      </c>
    </row>
    <row r="139" spans="1:6" x14ac:dyDescent="0.25">
      <c r="A139" s="6" t="s">
        <v>225</v>
      </c>
      <c r="B139" s="2" t="s">
        <v>246</v>
      </c>
      <c r="C139" s="2" t="s">
        <v>232</v>
      </c>
      <c r="D139" s="6" t="s">
        <v>243</v>
      </c>
      <c r="E139" s="6" t="s">
        <v>244</v>
      </c>
      <c r="F139" s="7" t="s">
        <v>249</v>
      </c>
    </row>
    <row r="140" spans="1:6" x14ac:dyDescent="0.25">
      <c r="A140" s="6" t="s">
        <v>228</v>
      </c>
      <c r="B140" s="2" t="s">
        <v>246</v>
      </c>
      <c r="C140" s="2" t="s">
        <v>232</v>
      </c>
      <c r="D140" s="8" t="s">
        <v>243</v>
      </c>
      <c r="E140" s="7" t="s">
        <v>243</v>
      </c>
      <c r="F140" s="6" t="s">
        <v>247</v>
      </c>
    </row>
    <row r="141" spans="1:6" x14ac:dyDescent="0.25">
      <c r="A141" s="6" t="s">
        <v>229</v>
      </c>
      <c r="B141" s="2" t="s">
        <v>246</v>
      </c>
      <c r="C141" s="2" t="s">
        <v>232</v>
      </c>
      <c r="D141" s="8" t="s">
        <v>243</v>
      </c>
      <c r="E141" s="7" t="s">
        <v>243</v>
      </c>
      <c r="F141" s="6" t="s">
        <v>247</v>
      </c>
    </row>
    <row r="142" spans="1:6" x14ac:dyDescent="0.25">
      <c r="A142" s="6" t="s">
        <v>230</v>
      </c>
      <c r="B142" s="2" t="s">
        <v>246</v>
      </c>
      <c r="C142" s="2" t="s">
        <v>232</v>
      </c>
      <c r="D142" s="8" t="s">
        <v>243</v>
      </c>
      <c r="E142" s="7" t="s">
        <v>243</v>
      </c>
      <c r="F142" s="6" t="s">
        <v>247</v>
      </c>
    </row>
    <row r="143" spans="1:6" x14ac:dyDescent="0.25">
      <c r="A143" s="6" t="s">
        <v>231</v>
      </c>
      <c r="B143" s="2" t="s">
        <v>246</v>
      </c>
      <c r="C143" s="2" t="s">
        <v>232</v>
      </c>
      <c r="D143" s="8" t="s">
        <v>243</v>
      </c>
      <c r="E143" s="7" t="s">
        <v>243</v>
      </c>
      <c r="F143" s="6" t="s">
        <v>247</v>
      </c>
    </row>
    <row r="144" spans="1:6" x14ac:dyDescent="0.25">
      <c r="A144" s="6" t="s">
        <v>14</v>
      </c>
      <c r="B144" s="2" t="s">
        <v>233</v>
      </c>
      <c r="C144" s="2" t="s">
        <v>8</v>
      </c>
      <c r="D144" s="7" t="s">
        <v>243</v>
      </c>
      <c r="E144" s="7" t="s">
        <v>243</v>
      </c>
      <c r="F144" s="6"/>
    </row>
    <row r="145" spans="1:6" ht="30" x14ac:dyDescent="0.25">
      <c r="A145" s="6" t="s">
        <v>66</v>
      </c>
      <c r="B145" s="2" t="s">
        <v>234</v>
      </c>
      <c r="C145" s="2" t="s">
        <v>8</v>
      </c>
      <c r="D145" s="6" t="s">
        <v>244</v>
      </c>
      <c r="E145" s="6" t="s">
        <v>244</v>
      </c>
      <c r="F145" s="6"/>
    </row>
    <row r="146" spans="1:6" ht="30" x14ac:dyDescent="0.25">
      <c r="A146" s="6" t="s">
        <v>68</v>
      </c>
      <c r="B146" s="2" t="s">
        <v>234</v>
      </c>
      <c r="C146" s="2" t="s">
        <v>8</v>
      </c>
      <c r="D146" s="6" t="s">
        <v>244</v>
      </c>
      <c r="E146" s="6" t="s">
        <v>244</v>
      </c>
      <c r="F146" s="6"/>
    </row>
    <row r="147" spans="1:6" x14ac:dyDescent="0.25">
      <c r="A147" s="6" t="s">
        <v>76</v>
      </c>
      <c r="B147" s="2" t="s">
        <v>233</v>
      </c>
      <c r="C147" s="2" t="s">
        <v>8</v>
      </c>
      <c r="D147" s="7" t="s">
        <v>243</v>
      </c>
      <c r="E147" s="7" t="s">
        <v>243</v>
      </c>
      <c r="F147" s="6"/>
    </row>
    <row r="148" spans="1:6" ht="30" x14ac:dyDescent="0.25">
      <c r="A148" s="6" t="s">
        <v>53</v>
      </c>
      <c r="B148" s="2" t="s">
        <v>234</v>
      </c>
      <c r="C148" s="2" t="s">
        <v>8</v>
      </c>
      <c r="D148" s="6" t="s">
        <v>244</v>
      </c>
      <c r="E148" s="6" t="s">
        <v>244</v>
      </c>
      <c r="F148" s="6"/>
    </row>
    <row r="149" spans="1:6" ht="30" x14ac:dyDescent="0.25">
      <c r="A149" s="6" t="s">
        <v>55</v>
      </c>
      <c r="B149" s="2" t="s">
        <v>234</v>
      </c>
      <c r="C149" s="2" t="s">
        <v>8</v>
      </c>
      <c r="D149" s="6" t="s">
        <v>244</v>
      </c>
      <c r="E149" s="6" t="s">
        <v>244</v>
      </c>
      <c r="F149" s="6"/>
    </row>
    <row r="150" spans="1:6" x14ac:dyDescent="0.25">
      <c r="A150" s="6" t="s">
        <v>78</v>
      </c>
      <c r="B150" s="2" t="s">
        <v>233</v>
      </c>
      <c r="C150" s="2" t="s">
        <v>8</v>
      </c>
      <c r="D150" s="7" t="s">
        <v>243</v>
      </c>
      <c r="E150" s="7" t="s">
        <v>243</v>
      </c>
      <c r="F150" s="6"/>
    </row>
    <row r="151" spans="1:6" ht="30" x14ac:dyDescent="0.25">
      <c r="A151" s="6" t="s">
        <v>98</v>
      </c>
      <c r="B151" s="2" t="s">
        <v>235</v>
      </c>
      <c r="C151" s="2" t="s">
        <v>8</v>
      </c>
      <c r="D151" s="6" t="s">
        <v>244</v>
      </c>
      <c r="E151" s="6" t="s">
        <v>244</v>
      </c>
      <c r="F151" s="6"/>
    </row>
    <row r="152" spans="1:6" ht="30" x14ac:dyDescent="0.25">
      <c r="A152" s="6" t="s">
        <v>100</v>
      </c>
      <c r="B152" s="2" t="s">
        <v>235</v>
      </c>
      <c r="C152" s="2" t="s">
        <v>8</v>
      </c>
      <c r="D152" s="6" t="s">
        <v>244</v>
      </c>
      <c r="E152" s="6" t="s">
        <v>244</v>
      </c>
      <c r="F152" s="6"/>
    </row>
    <row r="153" spans="1:6" x14ac:dyDescent="0.25">
      <c r="A153" s="6" t="s">
        <v>108</v>
      </c>
      <c r="B153" s="2" t="s">
        <v>233</v>
      </c>
      <c r="C153" s="2" t="s">
        <v>8</v>
      </c>
      <c r="D153" s="7" t="s">
        <v>243</v>
      </c>
      <c r="E153" s="7" t="s">
        <v>243</v>
      </c>
      <c r="F153" s="6"/>
    </row>
    <row r="154" spans="1:6" ht="30" x14ac:dyDescent="0.25">
      <c r="A154" s="6" t="s">
        <v>131</v>
      </c>
      <c r="B154" s="2" t="s">
        <v>235</v>
      </c>
      <c r="C154" s="2" t="s">
        <v>8</v>
      </c>
      <c r="D154" s="6" t="s">
        <v>244</v>
      </c>
      <c r="E154" s="6" t="s">
        <v>244</v>
      </c>
      <c r="F154" s="6"/>
    </row>
    <row r="155" spans="1:6" ht="30" x14ac:dyDescent="0.25">
      <c r="A155" s="6" t="s">
        <v>133</v>
      </c>
      <c r="B155" s="2" t="s">
        <v>235</v>
      </c>
      <c r="C155" s="2" t="s">
        <v>8</v>
      </c>
      <c r="D155" s="6" t="s">
        <v>244</v>
      </c>
      <c r="E155" s="6" t="s">
        <v>244</v>
      </c>
      <c r="F155" s="6"/>
    </row>
    <row r="156" spans="1:6" x14ac:dyDescent="0.25">
      <c r="A156" s="6" t="s">
        <v>141</v>
      </c>
      <c r="B156" s="2" t="s">
        <v>233</v>
      </c>
      <c r="C156" s="2" t="s">
        <v>8</v>
      </c>
      <c r="D156" s="7" t="s">
        <v>243</v>
      </c>
      <c r="E156" s="7" t="s">
        <v>243</v>
      </c>
      <c r="F156" s="6"/>
    </row>
    <row r="157" spans="1:6" ht="30" x14ac:dyDescent="0.25">
      <c r="A157" s="6" t="s">
        <v>166</v>
      </c>
      <c r="B157" s="2" t="s">
        <v>236</v>
      </c>
      <c r="C157" s="2" t="s">
        <v>8</v>
      </c>
      <c r="D157" s="6" t="s">
        <v>244</v>
      </c>
      <c r="E157" s="6" t="s">
        <v>244</v>
      </c>
      <c r="F157" s="6"/>
    </row>
    <row r="158" spans="1:6" ht="30" x14ac:dyDescent="0.25">
      <c r="A158" s="6" t="s">
        <v>168</v>
      </c>
      <c r="B158" s="2" t="s">
        <v>236</v>
      </c>
      <c r="C158" s="2" t="s">
        <v>8</v>
      </c>
      <c r="D158" s="6" t="s">
        <v>244</v>
      </c>
      <c r="E158" s="6" t="s">
        <v>244</v>
      </c>
      <c r="F158" s="6"/>
    </row>
    <row r="159" spans="1:6" x14ac:dyDescent="0.25">
      <c r="A159" s="6" t="s">
        <v>176</v>
      </c>
      <c r="B159" s="2" t="s">
        <v>233</v>
      </c>
      <c r="C159" s="2" t="s">
        <v>8</v>
      </c>
      <c r="D159" s="7" t="s">
        <v>243</v>
      </c>
      <c r="E159" s="7" t="s">
        <v>243</v>
      </c>
      <c r="F159" s="6"/>
    </row>
    <row r="160" spans="1:6" ht="30" x14ac:dyDescent="0.25">
      <c r="A160" s="6" t="s">
        <v>195</v>
      </c>
      <c r="B160" s="2" t="s">
        <v>237</v>
      </c>
      <c r="C160" s="2" t="s">
        <v>8</v>
      </c>
      <c r="D160" s="6" t="s">
        <v>244</v>
      </c>
      <c r="E160" s="6" t="s">
        <v>244</v>
      </c>
      <c r="F160" s="6"/>
    </row>
    <row r="161" spans="1:6" ht="30" x14ac:dyDescent="0.25">
      <c r="A161" s="6" t="s">
        <v>197</v>
      </c>
      <c r="B161" s="2" t="s">
        <v>237</v>
      </c>
      <c r="C161" s="2" t="s">
        <v>8</v>
      </c>
      <c r="D161" s="6" t="s">
        <v>244</v>
      </c>
      <c r="E161" s="6" t="s">
        <v>244</v>
      </c>
      <c r="F161" s="6"/>
    </row>
    <row r="162" spans="1:6" x14ac:dyDescent="0.25">
      <c r="A162" s="6" t="s">
        <v>205</v>
      </c>
      <c r="B162" s="2" t="s">
        <v>233</v>
      </c>
      <c r="C162" s="2" t="s">
        <v>8</v>
      </c>
      <c r="D162" s="7" t="s">
        <v>243</v>
      </c>
      <c r="E162" s="7" t="s">
        <v>243</v>
      </c>
      <c r="F162" s="6"/>
    </row>
    <row r="163" spans="1:6" ht="30" x14ac:dyDescent="0.25">
      <c r="A163" s="6" t="s">
        <v>222</v>
      </c>
      <c r="B163" s="2" t="s">
        <v>237</v>
      </c>
      <c r="C163" s="2" t="s">
        <v>8</v>
      </c>
      <c r="D163" s="6" t="s">
        <v>244</v>
      </c>
      <c r="E163" s="6" t="s">
        <v>244</v>
      </c>
      <c r="F163" s="6"/>
    </row>
    <row r="164" spans="1:6" ht="30" x14ac:dyDescent="0.25">
      <c r="A164" s="6" t="s">
        <v>224</v>
      </c>
      <c r="B164" s="2" t="s">
        <v>237</v>
      </c>
      <c r="C164" s="2" t="s">
        <v>8</v>
      </c>
      <c r="D164" s="6" t="s">
        <v>244</v>
      </c>
      <c r="E164" s="6" t="s">
        <v>244</v>
      </c>
      <c r="F164" s="6"/>
    </row>
    <row r="165" spans="1:6" x14ac:dyDescent="0.25">
      <c r="A165" s="6" t="s">
        <v>24</v>
      </c>
      <c r="B165" s="2" t="s">
        <v>8</v>
      </c>
      <c r="C165" s="2" t="s">
        <v>8</v>
      </c>
      <c r="D165" s="6" t="s">
        <v>245</v>
      </c>
      <c r="E165" s="6" t="s">
        <v>8</v>
      </c>
      <c r="F165" s="6"/>
    </row>
    <row r="166" spans="1:6" x14ac:dyDescent="0.25">
      <c r="A166" s="6" t="s">
        <v>25</v>
      </c>
      <c r="B166" s="2" t="s">
        <v>8</v>
      </c>
      <c r="C166" s="2" t="s">
        <v>8</v>
      </c>
      <c r="D166" s="6" t="s">
        <v>245</v>
      </c>
      <c r="E166" s="6" t="s">
        <v>8</v>
      </c>
      <c r="F166" s="6"/>
    </row>
    <row r="167" spans="1:6" x14ac:dyDescent="0.25">
      <c r="A167" s="6" t="s">
        <v>26</v>
      </c>
      <c r="B167" s="2" t="s">
        <v>8</v>
      </c>
      <c r="C167" s="2" t="s">
        <v>8</v>
      </c>
      <c r="D167" s="6" t="s">
        <v>245</v>
      </c>
      <c r="E167" s="6" t="s">
        <v>8</v>
      </c>
      <c r="F167" s="6"/>
    </row>
    <row r="168" spans="1:6" x14ac:dyDescent="0.25">
      <c r="A168" s="6" t="s">
        <v>27</v>
      </c>
      <c r="B168" s="2" t="s">
        <v>8</v>
      </c>
      <c r="C168" s="2" t="s">
        <v>8</v>
      </c>
      <c r="D168" s="6" t="s">
        <v>245</v>
      </c>
      <c r="E168" s="6" t="s">
        <v>8</v>
      </c>
      <c r="F168" s="6"/>
    </row>
    <row r="169" spans="1:6" x14ac:dyDescent="0.25">
      <c r="A169" s="6" t="s">
        <v>28</v>
      </c>
      <c r="B169" s="2" t="s">
        <v>8</v>
      </c>
      <c r="C169" s="2" t="s">
        <v>8</v>
      </c>
      <c r="D169" s="6" t="s">
        <v>245</v>
      </c>
      <c r="E169" s="6" t="s">
        <v>8</v>
      </c>
      <c r="F169" s="6"/>
    </row>
    <row r="170" spans="1:6" x14ac:dyDescent="0.25">
      <c r="A170" s="6" t="s">
        <v>29</v>
      </c>
      <c r="B170" s="2" t="s">
        <v>8</v>
      </c>
      <c r="C170" s="2" t="s">
        <v>8</v>
      </c>
      <c r="D170" s="6" t="s">
        <v>245</v>
      </c>
      <c r="E170" s="6" t="s">
        <v>8</v>
      </c>
      <c r="F170" s="6"/>
    </row>
    <row r="171" spans="1:6" x14ac:dyDescent="0.25">
      <c r="A171" s="6" t="s">
        <v>70</v>
      </c>
      <c r="B171" s="2" t="s">
        <v>8</v>
      </c>
      <c r="C171" s="2" t="s">
        <v>8</v>
      </c>
      <c r="D171" s="6" t="s">
        <v>245</v>
      </c>
      <c r="E171" s="6" t="s">
        <v>8</v>
      </c>
      <c r="F171" s="6"/>
    </row>
    <row r="172" spans="1:6" x14ac:dyDescent="0.25">
      <c r="A172" s="6" t="s">
        <v>71</v>
      </c>
      <c r="B172" s="2" t="s">
        <v>8</v>
      </c>
      <c r="C172" s="2" t="s">
        <v>8</v>
      </c>
      <c r="D172" s="6" t="s">
        <v>245</v>
      </c>
      <c r="E172" s="6" t="s">
        <v>8</v>
      </c>
      <c r="F172" s="6"/>
    </row>
    <row r="173" spans="1:6" x14ac:dyDescent="0.25">
      <c r="A173" s="6" t="s">
        <v>43</v>
      </c>
      <c r="B173" s="2" t="s">
        <v>8</v>
      </c>
      <c r="C173" s="2" t="s">
        <v>8</v>
      </c>
      <c r="D173" s="6" t="s">
        <v>245</v>
      </c>
      <c r="E173" s="6" t="s">
        <v>8</v>
      </c>
      <c r="F173" s="6"/>
    </row>
    <row r="174" spans="1:6" x14ac:dyDescent="0.25">
      <c r="A174" s="6" t="s">
        <v>44</v>
      </c>
      <c r="B174" s="2" t="s">
        <v>8</v>
      </c>
      <c r="C174" s="2" t="s">
        <v>8</v>
      </c>
      <c r="D174" s="6" t="s">
        <v>245</v>
      </c>
      <c r="E174" s="6" t="s">
        <v>8</v>
      </c>
      <c r="F174" s="6"/>
    </row>
    <row r="175" spans="1:6" x14ac:dyDescent="0.25">
      <c r="A175" s="6" t="s">
        <v>45</v>
      </c>
      <c r="B175" s="2" t="s">
        <v>8</v>
      </c>
      <c r="C175" s="2" t="s">
        <v>8</v>
      </c>
      <c r="D175" s="6" t="s">
        <v>245</v>
      </c>
      <c r="E175" s="6" t="s">
        <v>8</v>
      </c>
      <c r="F175" s="6"/>
    </row>
    <row r="176" spans="1:6" x14ac:dyDescent="0.25">
      <c r="A176" s="6" t="s">
        <v>46</v>
      </c>
      <c r="B176" s="2" t="s">
        <v>8</v>
      </c>
      <c r="C176" s="2" t="s">
        <v>8</v>
      </c>
      <c r="D176" s="6" t="s">
        <v>245</v>
      </c>
      <c r="E176" s="6" t="s">
        <v>8</v>
      </c>
      <c r="F176" s="6"/>
    </row>
    <row r="177" spans="1:6" x14ac:dyDescent="0.25">
      <c r="A177" s="6" t="s">
        <v>47</v>
      </c>
      <c r="B177" s="2" t="s">
        <v>8</v>
      </c>
      <c r="C177" s="2" t="s">
        <v>8</v>
      </c>
      <c r="D177" s="6" t="s">
        <v>245</v>
      </c>
      <c r="E177" s="6" t="s">
        <v>8</v>
      </c>
      <c r="F177" s="6"/>
    </row>
    <row r="178" spans="1:6" x14ac:dyDescent="0.25">
      <c r="A178" s="6" t="s">
        <v>48</v>
      </c>
      <c r="B178" s="2" t="s">
        <v>8</v>
      </c>
      <c r="C178" s="2" t="s">
        <v>8</v>
      </c>
      <c r="D178" s="6" t="s">
        <v>245</v>
      </c>
      <c r="E178" s="6" t="s">
        <v>8</v>
      </c>
      <c r="F178" s="6"/>
    </row>
    <row r="179" spans="1:6" x14ac:dyDescent="0.25">
      <c r="A179" s="6" t="s">
        <v>59</v>
      </c>
      <c r="B179" s="2" t="s">
        <v>8</v>
      </c>
      <c r="C179" s="2" t="s">
        <v>8</v>
      </c>
      <c r="D179" s="6" t="s">
        <v>245</v>
      </c>
      <c r="E179" s="6" t="s">
        <v>8</v>
      </c>
      <c r="F179" s="6"/>
    </row>
    <row r="180" spans="1:6" x14ac:dyDescent="0.25">
      <c r="A180" s="6" t="s">
        <v>60</v>
      </c>
      <c r="B180" s="2" t="s">
        <v>8</v>
      </c>
      <c r="C180" s="2" t="s">
        <v>8</v>
      </c>
      <c r="D180" s="6" t="s">
        <v>245</v>
      </c>
      <c r="E180" s="6" t="s">
        <v>8</v>
      </c>
      <c r="F180" s="6"/>
    </row>
    <row r="181" spans="1:6" x14ac:dyDescent="0.25">
      <c r="A181" s="6" t="s">
        <v>88</v>
      </c>
      <c r="B181" s="2" t="s">
        <v>8</v>
      </c>
      <c r="C181" s="2" t="s">
        <v>8</v>
      </c>
      <c r="D181" s="6" t="s">
        <v>245</v>
      </c>
      <c r="E181" s="6" t="s">
        <v>8</v>
      </c>
      <c r="F181" s="6"/>
    </row>
    <row r="182" spans="1:6" x14ac:dyDescent="0.25">
      <c r="A182" s="6" t="s">
        <v>89</v>
      </c>
      <c r="B182" s="2" t="s">
        <v>8</v>
      </c>
      <c r="C182" s="2" t="s">
        <v>8</v>
      </c>
      <c r="D182" s="6" t="s">
        <v>245</v>
      </c>
      <c r="E182" s="6" t="s">
        <v>8</v>
      </c>
      <c r="F182" s="6"/>
    </row>
    <row r="183" spans="1:6" x14ac:dyDescent="0.25">
      <c r="A183" s="6" t="s">
        <v>90</v>
      </c>
      <c r="B183" s="2" t="s">
        <v>8</v>
      </c>
      <c r="C183" s="2" t="s">
        <v>8</v>
      </c>
      <c r="D183" s="6" t="s">
        <v>245</v>
      </c>
      <c r="E183" s="6" t="s">
        <v>8</v>
      </c>
      <c r="F183" s="6"/>
    </row>
    <row r="184" spans="1:6" x14ac:dyDescent="0.25">
      <c r="A184" s="6" t="s">
        <v>91</v>
      </c>
      <c r="B184" s="2" t="s">
        <v>8</v>
      </c>
      <c r="C184" s="2" t="s">
        <v>8</v>
      </c>
      <c r="D184" s="6" t="s">
        <v>245</v>
      </c>
      <c r="E184" s="6" t="s">
        <v>8</v>
      </c>
      <c r="F184" s="6"/>
    </row>
    <row r="185" spans="1:6" x14ac:dyDescent="0.25">
      <c r="A185" s="6" t="s">
        <v>92</v>
      </c>
      <c r="B185" s="2" t="s">
        <v>8</v>
      </c>
      <c r="C185" s="2" t="s">
        <v>8</v>
      </c>
      <c r="D185" s="6" t="s">
        <v>245</v>
      </c>
      <c r="E185" s="6" t="s">
        <v>8</v>
      </c>
      <c r="F185" s="6"/>
    </row>
    <row r="186" spans="1:6" x14ac:dyDescent="0.25">
      <c r="A186" s="6" t="s">
        <v>93</v>
      </c>
      <c r="B186" s="2" t="s">
        <v>8</v>
      </c>
      <c r="C186" s="2" t="s">
        <v>8</v>
      </c>
      <c r="D186" s="6" t="s">
        <v>245</v>
      </c>
      <c r="E186" s="6" t="s">
        <v>8</v>
      </c>
      <c r="F186" s="6"/>
    </row>
    <row r="187" spans="1:6" x14ac:dyDescent="0.25">
      <c r="A187" s="6" t="s">
        <v>102</v>
      </c>
      <c r="B187" s="2" t="s">
        <v>8</v>
      </c>
      <c r="C187" s="2" t="s">
        <v>8</v>
      </c>
      <c r="D187" s="6" t="s">
        <v>245</v>
      </c>
      <c r="E187" s="6" t="s">
        <v>8</v>
      </c>
      <c r="F187" s="6"/>
    </row>
    <row r="188" spans="1:6" x14ac:dyDescent="0.25">
      <c r="A188" s="6" t="s">
        <v>103</v>
      </c>
      <c r="B188" s="2" t="s">
        <v>8</v>
      </c>
      <c r="C188" s="2" t="s">
        <v>8</v>
      </c>
      <c r="D188" s="6" t="s">
        <v>245</v>
      </c>
      <c r="E188" s="6" t="s">
        <v>8</v>
      </c>
      <c r="F188" s="6"/>
    </row>
    <row r="189" spans="1:6" x14ac:dyDescent="0.25">
      <c r="A189" s="6" t="s">
        <v>121</v>
      </c>
      <c r="B189" s="2" t="s">
        <v>8</v>
      </c>
      <c r="C189" s="2" t="s">
        <v>8</v>
      </c>
      <c r="D189" s="6" t="s">
        <v>245</v>
      </c>
      <c r="E189" s="6" t="s">
        <v>8</v>
      </c>
      <c r="F189" s="6"/>
    </row>
    <row r="190" spans="1:6" x14ac:dyDescent="0.25">
      <c r="A190" s="6" t="s">
        <v>122</v>
      </c>
      <c r="B190" s="2" t="s">
        <v>8</v>
      </c>
      <c r="C190" s="2" t="s">
        <v>8</v>
      </c>
      <c r="D190" s="6" t="s">
        <v>245</v>
      </c>
      <c r="E190" s="6" t="s">
        <v>8</v>
      </c>
      <c r="F190" s="6"/>
    </row>
    <row r="191" spans="1:6" x14ac:dyDescent="0.25">
      <c r="A191" s="6" t="s">
        <v>123</v>
      </c>
      <c r="B191" s="2" t="s">
        <v>8</v>
      </c>
      <c r="C191" s="2" t="s">
        <v>8</v>
      </c>
      <c r="D191" s="6" t="s">
        <v>245</v>
      </c>
      <c r="E191" s="6" t="s">
        <v>8</v>
      </c>
      <c r="F191" s="6"/>
    </row>
    <row r="192" spans="1:6" x14ac:dyDescent="0.25">
      <c r="A192" s="6" t="s">
        <v>124</v>
      </c>
      <c r="B192" s="2" t="s">
        <v>8</v>
      </c>
      <c r="C192" s="2" t="s">
        <v>8</v>
      </c>
      <c r="D192" s="6" t="s">
        <v>245</v>
      </c>
      <c r="E192" s="6" t="s">
        <v>8</v>
      </c>
      <c r="F192" s="6"/>
    </row>
    <row r="193" spans="1:6" x14ac:dyDescent="0.25">
      <c r="A193" s="6" t="s">
        <v>125</v>
      </c>
      <c r="B193" s="2" t="s">
        <v>8</v>
      </c>
      <c r="C193" s="2" t="s">
        <v>8</v>
      </c>
      <c r="D193" s="6" t="s">
        <v>245</v>
      </c>
      <c r="E193" s="6" t="s">
        <v>8</v>
      </c>
      <c r="F193" s="6"/>
    </row>
    <row r="194" spans="1:6" x14ac:dyDescent="0.25">
      <c r="A194" s="6" t="s">
        <v>126</v>
      </c>
      <c r="B194" s="2" t="s">
        <v>8</v>
      </c>
      <c r="C194" s="2" t="s">
        <v>8</v>
      </c>
      <c r="D194" s="6" t="s">
        <v>245</v>
      </c>
      <c r="E194" s="6" t="s">
        <v>8</v>
      </c>
      <c r="F194" s="6"/>
    </row>
    <row r="195" spans="1:6" x14ac:dyDescent="0.25">
      <c r="A195" s="6" t="s">
        <v>135</v>
      </c>
      <c r="B195" s="2" t="s">
        <v>8</v>
      </c>
      <c r="C195" s="2" t="s">
        <v>8</v>
      </c>
      <c r="D195" s="6" t="s">
        <v>245</v>
      </c>
      <c r="E195" s="6" t="s">
        <v>8</v>
      </c>
      <c r="F195" s="6"/>
    </row>
    <row r="196" spans="1:6" x14ac:dyDescent="0.25">
      <c r="A196" s="6" t="s">
        <v>136</v>
      </c>
      <c r="B196" s="2" t="s">
        <v>8</v>
      </c>
      <c r="C196" s="2" t="s">
        <v>8</v>
      </c>
      <c r="D196" s="6" t="s">
        <v>245</v>
      </c>
      <c r="E196" s="6" t="s">
        <v>8</v>
      </c>
      <c r="F196" s="6"/>
    </row>
    <row r="197" spans="1:6" x14ac:dyDescent="0.25">
      <c r="A197" s="6" t="s">
        <v>151</v>
      </c>
      <c r="B197" s="2" t="s">
        <v>8</v>
      </c>
      <c r="C197" s="2" t="s">
        <v>8</v>
      </c>
      <c r="D197" s="6" t="s">
        <v>245</v>
      </c>
      <c r="E197" s="6" t="s">
        <v>8</v>
      </c>
      <c r="F197" s="6"/>
    </row>
    <row r="198" spans="1:6" x14ac:dyDescent="0.25">
      <c r="A198" s="6" t="s">
        <v>152</v>
      </c>
      <c r="B198" s="2" t="s">
        <v>8</v>
      </c>
      <c r="C198" s="2" t="s">
        <v>8</v>
      </c>
      <c r="D198" s="6" t="s">
        <v>245</v>
      </c>
      <c r="E198" s="6" t="s">
        <v>8</v>
      </c>
      <c r="F198" s="6"/>
    </row>
    <row r="199" spans="1:6" x14ac:dyDescent="0.25">
      <c r="A199" s="6" t="s">
        <v>153</v>
      </c>
      <c r="B199" s="2" t="s">
        <v>8</v>
      </c>
      <c r="C199" s="2" t="s">
        <v>8</v>
      </c>
      <c r="D199" s="6" t="s">
        <v>245</v>
      </c>
      <c r="E199" s="6" t="s">
        <v>8</v>
      </c>
      <c r="F199" s="6"/>
    </row>
    <row r="200" spans="1:6" x14ac:dyDescent="0.25">
      <c r="A200" s="6" t="s">
        <v>154</v>
      </c>
      <c r="B200" s="2" t="s">
        <v>8</v>
      </c>
      <c r="C200" s="2" t="s">
        <v>8</v>
      </c>
      <c r="D200" s="6" t="s">
        <v>245</v>
      </c>
      <c r="E200" s="6" t="s">
        <v>8</v>
      </c>
      <c r="F200" s="6"/>
    </row>
    <row r="201" spans="1:6" x14ac:dyDescent="0.25">
      <c r="A201" s="6" t="s">
        <v>155</v>
      </c>
      <c r="B201" s="2" t="s">
        <v>8</v>
      </c>
      <c r="C201" s="2" t="s">
        <v>8</v>
      </c>
      <c r="D201" s="6" t="s">
        <v>245</v>
      </c>
      <c r="E201" s="6" t="s">
        <v>8</v>
      </c>
      <c r="F201" s="6"/>
    </row>
    <row r="202" spans="1:6" x14ac:dyDescent="0.25">
      <c r="A202" s="6" t="s">
        <v>156</v>
      </c>
      <c r="B202" s="2" t="s">
        <v>8</v>
      </c>
      <c r="C202" s="2" t="s">
        <v>8</v>
      </c>
      <c r="D202" s="6" t="s">
        <v>245</v>
      </c>
      <c r="E202" s="6" t="s">
        <v>8</v>
      </c>
      <c r="F202" s="6"/>
    </row>
    <row r="203" spans="1:6" x14ac:dyDescent="0.25">
      <c r="A203" s="6" t="s">
        <v>170</v>
      </c>
      <c r="B203" s="2" t="s">
        <v>8</v>
      </c>
      <c r="C203" s="2" t="s">
        <v>8</v>
      </c>
      <c r="D203" s="6" t="s">
        <v>245</v>
      </c>
      <c r="E203" s="6" t="s">
        <v>8</v>
      </c>
      <c r="F203" s="6"/>
    </row>
    <row r="204" spans="1:6" x14ac:dyDescent="0.25">
      <c r="A204" s="6" t="s">
        <v>171</v>
      </c>
      <c r="B204" s="2" t="s">
        <v>8</v>
      </c>
      <c r="C204" s="2" t="s">
        <v>8</v>
      </c>
      <c r="D204" s="6" t="s">
        <v>245</v>
      </c>
      <c r="E204" s="6" t="s">
        <v>8</v>
      </c>
      <c r="F204" s="6"/>
    </row>
    <row r="205" spans="1:6" x14ac:dyDescent="0.25">
      <c r="A205" s="6" t="s">
        <v>184</v>
      </c>
      <c r="B205" s="2" t="s">
        <v>8</v>
      </c>
      <c r="C205" s="2" t="s">
        <v>8</v>
      </c>
      <c r="D205" s="6" t="s">
        <v>245</v>
      </c>
      <c r="E205" s="6" t="s">
        <v>8</v>
      </c>
      <c r="F205" s="6"/>
    </row>
    <row r="206" spans="1:6" x14ac:dyDescent="0.25">
      <c r="A206" s="6" t="s">
        <v>185</v>
      </c>
      <c r="B206" s="2" t="s">
        <v>8</v>
      </c>
      <c r="C206" s="2" t="s">
        <v>8</v>
      </c>
      <c r="D206" s="6" t="s">
        <v>245</v>
      </c>
      <c r="E206" s="6" t="s">
        <v>8</v>
      </c>
      <c r="F206" s="6"/>
    </row>
    <row r="207" spans="1:6" x14ac:dyDescent="0.25">
      <c r="A207" s="6" t="s">
        <v>186</v>
      </c>
      <c r="B207" s="2" t="s">
        <v>8</v>
      </c>
      <c r="C207" s="2" t="s">
        <v>8</v>
      </c>
      <c r="D207" s="6" t="s">
        <v>245</v>
      </c>
      <c r="E207" s="6" t="s">
        <v>8</v>
      </c>
      <c r="F207" s="6"/>
    </row>
    <row r="208" spans="1:6" x14ac:dyDescent="0.25">
      <c r="A208" s="6" t="s">
        <v>187</v>
      </c>
      <c r="B208" s="2" t="s">
        <v>8</v>
      </c>
      <c r="C208" s="2" t="s">
        <v>8</v>
      </c>
      <c r="D208" s="6" t="s">
        <v>245</v>
      </c>
      <c r="E208" s="6" t="s">
        <v>8</v>
      </c>
      <c r="F208" s="6"/>
    </row>
    <row r="209" spans="1:6" x14ac:dyDescent="0.25">
      <c r="A209" s="6" t="s">
        <v>199</v>
      </c>
      <c r="B209" s="2" t="s">
        <v>8</v>
      </c>
      <c r="C209" s="2" t="s">
        <v>8</v>
      </c>
      <c r="D209" s="6" t="s">
        <v>245</v>
      </c>
      <c r="E209" s="6" t="s">
        <v>8</v>
      </c>
      <c r="F209" s="6"/>
    </row>
    <row r="210" spans="1:6" x14ac:dyDescent="0.25">
      <c r="A210" s="6" t="s">
        <v>200</v>
      </c>
      <c r="B210" s="2" t="s">
        <v>8</v>
      </c>
      <c r="C210" s="2" t="s">
        <v>8</v>
      </c>
      <c r="D210" s="6" t="s">
        <v>245</v>
      </c>
      <c r="E210" s="6" t="s">
        <v>8</v>
      </c>
      <c r="F210" s="6"/>
    </row>
    <row r="211" spans="1:6" x14ac:dyDescent="0.25">
      <c r="A211" s="6" t="s">
        <v>213</v>
      </c>
      <c r="B211" s="2" t="s">
        <v>8</v>
      </c>
      <c r="C211" s="2" t="s">
        <v>8</v>
      </c>
      <c r="D211" s="6" t="s">
        <v>245</v>
      </c>
      <c r="E211" s="6" t="s">
        <v>8</v>
      </c>
      <c r="F211" s="6"/>
    </row>
    <row r="212" spans="1:6" x14ac:dyDescent="0.25">
      <c r="A212" s="6" t="s">
        <v>214</v>
      </c>
      <c r="B212" s="2" t="s">
        <v>8</v>
      </c>
      <c r="C212" s="2" t="s">
        <v>8</v>
      </c>
      <c r="D212" s="6" t="s">
        <v>245</v>
      </c>
      <c r="E212" s="6" t="s">
        <v>8</v>
      </c>
      <c r="F212" s="6"/>
    </row>
    <row r="213" spans="1:6" x14ac:dyDescent="0.25">
      <c r="A213" s="6" t="s">
        <v>215</v>
      </c>
      <c r="B213" s="2" t="s">
        <v>8</v>
      </c>
      <c r="C213" s="2" t="s">
        <v>8</v>
      </c>
      <c r="D213" s="6" t="s">
        <v>245</v>
      </c>
      <c r="E213" s="6" t="s">
        <v>8</v>
      </c>
      <c r="F213" s="6"/>
    </row>
    <row r="214" spans="1:6" x14ac:dyDescent="0.25">
      <c r="A214" s="6" t="s">
        <v>216</v>
      </c>
      <c r="B214" s="2" t="s">
        <v>8</v>
      </c>
      <c r="C214" s="2" t="s">
        <v>8</v>
      </c>
      <c r="D214" s="6" t="s">
        <v>245</v>
      </c>
      <c r="E214" s="6" t="s">
        <v>8</v>
      </c>
      <c r="F214" s="6"/>
    </row>
    <row r="215" spans="1:6" x14ac:dyDescent="0.25">
      <c r="A215" s="6" t="s">
        <v>226</v>
      </c>
      <c r="B215" s="2" t="s">
        <v>8</v>
      </c>
      <c r="C215" s="2" t="s">
        <v>8</v>
      </c>
      <c r="D215" s="6" t="s">
        <v>245</v>
      </c>
      <c r="E215" s="6" t="s">
        <v>8</v>
      </c>
      <c r="F215" s="6"/>
    </row>
    <row r="216" spans="1:6" x14ac:dyDescent="0.25">
      <c r="A216" s="6" t="s">
        <v>227</v>
      </c>
      <c r="B216" s="2" t="s">
        <v>8</v>
      </c>
      <c r="C216" s="2" t="s">
        <v>8</v>
      </c>
      <c r="D216" s="6" t="s">
        <v>245</v>
      </c>
      <c r="E216" s="6" t="s">
        <v>8</v>
      </c>
      <c r="F216" s="6"/>
    </row>
  </sheetData>
  <autoFilter ref="A1:F216" xr:uid="{00000000-0009-0000-0000-000002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1"/>
  <sheetViews>
    <sheetView zoomScale="85" zoomScaleNormal="85" workbookViewId="0">
      <selection activeCell="B22" sqref="B22"/>
    </sheetView>
  </sheetViews>
  <sheetFormatPr defaultRowHeight="15" x14ac:dyDescent="0.25"/>
  <cols>
    <col min="1" max="1" width="38.5703125" customWidth="1"/>
    <col min="2" max="2" width="9.140625" style="9"/>
  </cols>
  <sheetData>
    <row r="1" spans="1:9" x14ac:dyDescent="0.25">
      <c r="A1" s="6"/>
      <c r="B1" s="1" t="s">
        <v>273</v>
      </c>
      <c r="C1" s="1" t="s">
        <v>253</v>
      </c>
      <c r="D1" s="1" t="s">
        <v>254</v>
      </c>
      <c r="E1" s="1" t="s">
        <v>255</v>
      </c>
      <c r="F1" s="1" t="s">
        <v>256</v>
      </c>
      <c r="G1" s="1" t="s">
        <v>257</v>
      </c>
      <c r="H1" s="1" t="s">
        <v>258</v>
      </c>
      <c r="I1" s="1" t="s">
        <v>259</v>
      </c>
    </row>
    <row r="2" spans="1:9" x14ac:dyDescent="0.25">
      <c r="A2" s="6"/>
      <c r="B2" s="1"/>
      <c r="C2" s="1"/>
      <c r="D2" s="1"/>
      <c r="E2" s="1"/>
      <c r="F2" s="1"/>
      <c r="G2" s="1"/>
      <c r="H2" s="1"/>
      <c r="I2" s="1"/>
    </row>
    <row r="3" spans="1:9" x14ac:dyDescent="0.25">
      <c r="A3" s="6" t="s">
        <v>251</v>
      </c>
      <c r="B3" s="1"/>
      <c r="C3" s="1">
        <v>-0.63170000000000004</v>
      </c>
      <c r="D3" s="1">
        <v>1</v>
      </c>
      <c r="E3" s="1">
        <v>1</v>
      </c>
      <c r="F3" s="1">
        <v>1</v>
      </c>
      <c r="G3" s="1">
        <v>1</v>
      </c>
      <c r="H3" s="1">
        <v>1</v>
      </c>
      <c r="I3" s="1">
        <v>1</v>
      </c>
    </row>
    <row r="4" spans="1:9" x14ac:dyDescent="0.25">
      <c r="A4" s="6" t="s">
        <v>250</v>
      </c>
      <c r="B4" s="1"/>
      <c r="C4" s="1">
        <v>0.96499999999999997</v>
      </c>
      <c r="D4" s="1">
        <v>2</v>
      </c>
      <c r="E4" s="1">
        <v>2</v>
      </c>
      <c r="F4" s="1">
        <v>2</v>
      </c>
      <c r="G4" s="1">
        <v>2</v>
      </c>
      <c r="H4" s="1">
        <v>2</v>
      </c>
      <c r="I4" s="1">
        <v>2</v>
      </c>
    </row>
    <row r="5" spans="1:9" x14ac:dyDescent="0.25">
      <c r="A5" s="6" t="s">
        <v>252</v>
      </c>
      <c r="B5" s="1"/>
      <c r="C5" s="1">
        <v>6.8199999999999997E-3</v>
      </c>
      <c r="D5" s="1">
        <v>3</v>
      </c>
      <c r="E5" s="1">
        <v>3</v>
      </c>
      <c r="F5" s="1">
        <v>3</v>
      </c>
      <c r="G5" s="1">
        <v>3</v>
      </c>
      <c r="H5" s="1">
        <v>3</v>
      </c>
      <c r="I5" s="1">
        <v>3</v>
      </c>
    </row>
    <row r="6" spans="1:9" x14ac:dyDescent="0.25">
      <c r="A6" s="6"/>
      <c r="B6" s="1"/>
      <c r="C6" s="1"/>
      <c r="D6" s="1"/>
      <c r="E6" s="1"/>
      <c r="F6" s="1"/>
      <c r="G6" s="1"/>
      <c r="H6" s="1"/>
      <c r="I6" s="1"/>
    </row>
    <row r="7" spans="1:9" x14ac:dyDescent="0.25">
      <c r="A7" s="6" t="s">
        <v>263</v>
      </c>
      <c r="B7" s="1"/>
      <c r="C7" s="1">
        <v>-0.6</v>
      </c>
      <c r="D7" s="1">
        <v>-0.6</v>
      </c>
      <c r="E7" s="1">
        <v>-0.6</v>
      </c>
      <c r="F7" s="1">
        <v>-0.6</v>
      </c>
      <c r="G7" s="1">
        <v>-0.6</v>
      </c>
      <c r="H7" s="1">
        <v>-0.6</v>
      </c>
      <c r="I7" s="1">
        <v>-0.6</v>
      </c>
    </row>
    <row r="8" spans="1:9" x14ac:dyDescent="0.25">
      <c r="A8" s="6" t="s">
        <v>262</v>
      </c>
      <c r="B8" s="1"/>
      <c r="C8" s="1">
        <v>1.1000000000000001</v>
      </c>
      <c r="D8" s="1">
        <v>1.1000000000000001</v>
      </c>
      <c r="E8" s="1">
        <v>1.1000000000000001</v>
      </c>
      <c r="F8" s="1">
        <v>1.1000000000000001</v>
      </c>
      <c r="G8" s="1">
        <v>1.1000000000000001</v>
      </c>
      <c r="H8" s="1">
        <v>1.1000000000000001</v>
      </c>
      <c r="I8" s="1">
        <v>1.1000000000000001</v>
      </c>
    </row>
    <row r="9" spans="1:9" x14ac:dyDescent="0.25">
      <c r="A9" s="6"/>
      <c r="B9" s="1"/>
      <c r="C9" s="1"/>
      <c r="D9" s="1"/>
      <c r="E9" s="1"/>
      <c r="F9" s="1"/>
      <c r="G9" s="1"/>
      <c r="H9" s="1"/>
      <c r="I9" s="1"/>
    </row>
    <row r="10" spans="1:9" x14ac:dyDescent="0.25">
      <c r="A10" s="6" t="s">
        <v>264</v>
      </c>
      <c r="B10" s="1"/>
      <c r="C10" s="1" t="s">
        <v>8</v>
      </c>
      <c r="D10" s="1" t="s">
        <v>8</v>
      </c>
      <c r="E10" s="1" t="s">
        <v>8</v>
      </c>
      <c r="F10" s="1" t="s">
        <v>8</v>
      </c>
      <c r="G10" s="1">
        <v>4.7279999999999998</v>
      </c>
      <c r="H10" s="1">
        <v>2.3239999999999998</v>
      </c>
      <c r="I10" s="1">
        <v>2.3239999999999998</v>
      </c>
    </row>
    <row r="11" spans="1:9" x14ac:dyDescent="0.25">
      <c r="A11" s="6" t="s">
        <v>272</v>
      </c>
      <c r="B11" s="1"/>
      <c r="C11" s="1" t="s">
        <v>8</v>
      </c>
      <c r="D11" s="1" t="s">
        <v>8</v>
      </c>
      <c r="E11" s="1" t="s">
        <v>8</v>
      </c>
      <c r="F11" s="1" t="s">
        <v>8</v>
      </c>
      <c r="G11" s="1">
        <v>2.3170000000000002</v>
      </c>
      <c r="H11" s="1">
        <v>2.5419999999999998</v>
      </c>
      <c r="I11" s="1">
        <v>2.5419999999999998</v>
      </c>
    </row>
    <row r="12" spans="1:9" x14ac:dyDescent="0.25">
      <c r="A12" s="6" t="s">
        <v>270</v>
      </c>
      <c r="B12" s="1"/>
      <c r="C12" s="1" t="s">
        <v>8</v>
      </c>
      <c r="D12" s="1" t="s">
        <v>8</v>
      </c>
      <c r="E12" s="1" t="s">
        <v>8</v>
      </c>
      <c r="F12" s="1" t="s">
        <v>8</v>
      </c>
      <c r="G12" s="1">
        <v>-2.2909999999999999</v>
      </c>
      <c r="H12" s="1">
        <v>4.2999999999999997E-2</v>
      </c>
      <c r="I12" s="1">
        <v>4.2999999999999997E-2</v>
      </c>
    </row>
    <row r="13" spans="1:9" x14ac:dyDescent="0.25">
      <c r="A13" s="6" t="s">
        <v>268</v>
      </c>
      <c r="B13" s="1"/>
      <c r="C13" s="1">
        <v>2.8000000000000001E-2</v>
      </c>
      <c r="D13" s="1">
        <v>2.8000000000000001E-2</v>
      </c>
      <c r="E13" s="1">
        <v>2.8000000000000001E-2</v>
      </c>
      <c r="F13" s="1">
        <v>2.8000000000000001E-2</v>
      </c>
      <c r="G13" s="1" t="s">
        <v>8</v>
      </c>
      <c r="H13" s="1" t="s">
        <v>8</v>
      </c>
      <c r="I13" s="1" t="s">
        <v>8</v>
      </c>
    </row>
    <row r="14" spans="1:9" x14ac:dyDescent="0.25">
      <c r="A14" s="6" t="s">
        <v>271</v>
      </c>
      <c r="B14" s="1"/>
      <c r="C14" s="1">
        <v>2.8000000000000001E-2</v>
      </c>
      <c r="D14" s="1">
        <v>2.8000000000000001E-2</v>
      </c>
      <c r="E14" s="1">
        <v>2.8000000000000001E-2</v>
      </c>
      <c r="F14" s="1">
        <v>2.8000000000000001E-2</v>
      </c>
      <c r="G14" s="1" t="s">
        <v>8</v>
      </c>
      <c r="H14" s="1" t="s">
        <v>8</v>
      </c>
      <c r="I14" s="1" t="s">
        <v>8</v>
      </c>
    </row>
    <row r="15" spans="1:9" x14ac:dyDescent="0.25">
      <c r="A15" s="6" t="s">
        <v>260</v>
      </c>
      <c r="B15" s="1"/>
      <c r="C15" s="1">
        <v>0.16700000000000001</v>
      </c>
      <c r="D15" s="1">
        <v>0.16700000000000001</v>
      </c>
      <c r="E15" s="1">
        <v>0.248</v>
      </c>
      <c r="F15" s="1">
        <v>0.248</v>
      </c>
      <c r="G15" s="1">
        <v>1.2999999999999999E-2</v>
      </c>
      <c r="H15" s="1">
        <v>1.3140000000000001</v>
      </c>
      <c r="I15" s="1">
        <v>1.3140000000000001</v>
      </c>
    </row>
    <row r="16" spans="1:9" x14ac:dyDescent="0.25">
      <c r="A16" s="6" t="s">
        <v>261</v>
      </c>
      <c r="B16" s="1"/>
      <c r="C16" s="1">
        <v>1</v>
      </c>
      <c r="D16" s="1">
        <v>1</v>
      </c>
      <c r="E16" s="1">
        <v>1</v>
      </c>
      <c r="F16" s="1">
        <v>1</v>
      </c>
      <c r="G16" s="1">
        <v>1</v>
      </c>
      <c r="H16" s="1">
        <v>1</v>
      </c>
      <c r="I16" s="1">
        <v>1</v>
      </c>
    </row>
    <row r="17" spans="1:9" x14ac:dyDescent="0.25">
      <c r="A17" s="6"/>
      <c r="B17" s="1"/>
      <c r="C17" s="1"/>
      <c r="D17" s="1"/>
      <c r="E17" s="1"/>
      <c r="F17" s="1"/>
      <c r="G17" s="1"/>
      <c r="H17" s="1"/>
      <c r="I17" s="1"/>
    </row>
    <row r="18" spans="1:9" x14ac:dyDescent="0.25">
      <c r="A18" s="6" t="s">
        <v>265</v>
      </c>
      <c r="B18" s="1"/>
      <c r="C18" s="1">
        <f>(C8-C7)/(C4-C3)</f>
        <v>1.0646959353666938</v>
      </c>
      <c r="D18" s="1">
        <f t="shared" ref="D18:F18" si="0">(D8-D7)/(D4-D3)</f>
        <v>1.7000000000000002</v>
      </c>
      <c r="E18" s="1">
        <f t="shared" si="0"/>
        <v>1.7000000000000002</v>
      </c>
      <c r="F18" s="1">
        <f t="shared" si="0"/>
        <v>1.7000000000000002</v>
      </c>
      <c r="G18" s="1">
        <f>G10/ (G4-G3)</f>
        <v>4.7279999999999998</v>
      </c>
      <c r="H18" s="1">
        <f>H10/ (H4-H3)</f>
        <v>2.3239999999999998</v>
      </c>
      <c r="I18" s="1">
        <f>I10/ (I4-I3)</f>
        <v>2.3239999999999998</v>
      </c>
    </row>
    <row r="19" spans="1:9" x14ac:dyDescent="0.25">
      <c r="A19" s="6" t="s">
        <v>266</v>
      </c>
      <c r="B19" s="1"/>
      <c r="C19" s="1">
        <f>(C15-C5)*C18</f>
        <v>0.17054299492703703</v>
      </c>
      <c r="D19" s="1">
        <f t="shared" ref="D19:G19" si="1">(D15-D5)*D18</f>
        <v>-4.8161000000000005</v>
      </c>
      <c r="E19" s="1">
        <f t="shared" si="1"/>
        <v>-4.6783999999999999</v>
      </c>
      <c r="F19" s="1">
        <f t="shared" si="1"/>
        <v>-4.6783999999999999</v>
      </c>
      <c r="G19" s="1">
        <f t="shared" si="1"/>
        <v>-14.122536</v>
      </c>
      <c r="H19" s="1">
        <f>(H15-H3)*H18</f>
        <v>0.72973600000000005</v>
      </c>
      <c r="I19" s="1">
        <f>(I15-I3)*I18</f>
        <v>0.72973600000000005</v>
      </c>
    </row>
    <row r="20" spans="1:9" x14ac:dyDescent="0.25">
      <c r="A20" s="6" t="s">
        <v>269</v>
      </c>
      <c r="B20" s="1"/>
      <c r="C20" s="1">
        <f>C4-C14</f>
        <v>0.93699999999999994</v>
      </c>
      <c r="D20" s="1">
        <f t="shared" ref="D20:F20" si="2">D4-D14</f>
        <v>1.972</v>
      </c>
      <c r="E20" s="1">
        <f t="shared" si="2"/>
        <v>1.972</v>
      </c>
      <c r="F20" s="1">
        <f t="shared" si="2"/>
        <v>1.972</v>
      </c>
      <c r="G20" s="1">
        <f t="shared" ref="G20:I21" si="3">G11</f>
        <v>2.3170000000000002</v>
      </c>
      <c r="H20" s="1">
        <f t="shared" si="3"/>
        <v>2.5419999999999998</v>
      </c>
      <c r="I20" s="1">
        <f t="shared" si="3"/>
        <v>2.5419999999999998</v>
      </c>
    </row>
    <row r="21" spans="1:9" x14ac:dyDescent="0.25">
      <c r="A21" s="6" t="s">
        <v>267</v>
      </c>
      <c r="B21" s="1"/>
      <c r="C21" s="1">
        <f>C3+C13</f>
        <v>-0.60370000000000001</v>
      </c>
      <c r="D21" s="1">
        <f>D3+D13</f>
        <v>1.028</v>
      </c>
      <c r="E21" s="1">
        <f>E3+E13</f>
        <v>1.028</v>
      </c>
      <c r="F21" s="1">
        <f>F3+F13</f>
        <v>1.028</v>
      </c>
      <c r="G21" s="1">
        <f t="shared" si="3"/>
        <v>-2.2909999999999999</v>
      </c>
      <c r="H21" s="1">
        <f t="shared" si="3"/>
        <v>4.2999999999999997E-2</v>
      </c>
      <c r="I21" s="1">
        <f t="shared" si="3"/>
        <v>4.2999999999999997E-2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12"/>
  <sheetViews>
    <sheetView workbookViewId="0">
      <selection activeCell="A13" sqref="A13"/>
    </sheetView>
  </sheetViews>
  <sheetFormatPr defaultRowHeight="15" x14ac:dyDescent="0.25"/>
  <cols>
    <col min="1" max="1" width="16.85546875" bestFit="1" customWidth="1"/>
    <col min="2" max="3" width="16.5703125" customWidth="1"/>
  </cols>
  <sheetData>
    <row r="1" spans="1:3" x14ac:dyDescent="0.25">
      <c r="A1" s="7" t="s">
        <v>111</v>
      </c>
      <c r="B1" s="7" t="s">
        <v>287</v>
      </c>
      <c r="C1" s="7" t="s">
        <v>288</v>
      </c>
    </row>
    <row r="2" spans="1:3" x14ac:dyDescent="0.25">
      <c r="A2" s="6" t="s">
        <v>276</v>
      </c>
      <c r="B2" s="6"/>
      <c r="C2" s="6" t="s">
        <v>289</v>
      </c>
    </row>
    <row r="3" spans="1:3" x14ac:dyDescent="0.25">
      <c r="A3" s="6" t="s">
        <v>277</v>
      </c>
      <c r="B3" s="6"/>
      <c r="C3" s="6" t="s">
        <v>289</v>
      </c>
    </row>
    <row r="4" spans="1:3" x14ac:dyDescent="0.25">
      <c r="A4" s="6" t="s">
        <v>278</v>
      </c>
      <c r="B4" s="6"/>
      <c r="C4" s="6" t="s">
        <v>289</v>
      </c>
    </row>
    <row r="5" spans="1:3" x14ac:dyDescent="0.25">
      <c r="A5" s="6" t="s">
        <v>279</v>
      </c>
      <c r="B5" s="6"/>
      <c r="C5" s="6" t="s">
        <v>289</v>
      </c>
    </row>
    <row r="6" spans="1:3" x14ac:dyDescent="0.25">
      <c r="A6" s="6" t="s">
        <v>280</v>
      </c>
      <c r="B6" s="6"/>
      <c r="C6" s="6" t="s">
        <v>290</v>
      </c>
    </row>
    <row r="7" spans="1:3" x14ac:dyDescent="0.25">
      <c r="A7" s="6" t="s">
        <v>281</v>
      </c>
      <c r="B7" s="6"/>
      <c r="C7" s="6" t="s">
        <v>290</v>
      </c>
    </row>
    <row r="8" spans="1:3" x14ac:dyDescent="0.25">
      <c r="A8" s="6" t="s">
        <v>282</v>
      </c>
      <c r="B8" s="6"/>
      <c r="C8" s="6" t="s">
        <v>290</v>
      </c>
    </row>
    <row r="9" spans="1:3" x14ac:dyDescent="0.25">
      <c r="A9" s="6" t="s">
        <v>283</v>
      </c>
      <c r="B9" s="6"/>
      <c r="C9" s="6" t="s">
        <v>289</v>
      </c>
    </row>
    <row r="10" spans="1:3" x14ac:dyDescent="0.25">
      <c r="A10" s="6" t="s">
        <v>284</v>
      </c>
      <c r="B10" s="6"/>
      <c r="C10" s="6" t="s">
        <v>289</v>
      </c>
    </row>
    <row r="11" spans="1:3" x14ac:dyDescent="0.25">
      <c r="A11" s="6" t="s">
        <v>285</v>
      </c>
      <c r="B11" s="6"/>
      <c r="C11" s="6" t="s">
        <v>289</v>
      </c>
    </row>
    <row r="12" spans="1:3" x14ac:dyDescent="0.25">
      <c r="A12" s="6" t="s">
        <v>286</v>
      </c>
      <c r="B12" s="6"/>
      <c r="C12" s="6" t="s">
        <v>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Cases</vt:lpstr>
      <vt:lpstr>Tool_Improvement</vt:lpstr>
      <vt:lpstr>FAILURE State</vt:lpstr>
      <vt:lpstr>Rigging Calculations</vt:lpstr>
      <vt:lpstr>Steps tested for 9655</vt:lpstr>
    </vt:vector>
  </TitlesOfParts>
  <Company>HCL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Vinayak Kulkarni  - ERS, HCL Tech</dc:creator>
  <cp:keywords>HCLClassification=Confidential</cp:keywords>
  <cp:lastModifiedBy>Kirankumar Y p</cp:lastModifiedBy>
  <dcterms:created xsi:type="dcterms:W3CDTF">2013-11-14T05:19:56Z</dcterms:created>
  <dcterms:modified xsi:type="dcterms:W3CDTF">2026-08-03T05:56:26Z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56d3772f-6061-4436-92fd-5a15c69bde60</vt:lpwstr>
  </property>
  <property fmtid="{D5CDD505-2E9C-101B-9397-08002B2CF9AE}" pid="3" name="HCLClassD6">
    <vt:lpwstr>False</vt:lpwstr>
  </property>
  <property fmtid="{D5CDD505-2E9C-101B-9397-08002B2CF9AE}" pid="4" name="HCLClassification">
    <vt:lpwstr>HCL_Cla5s_C0nf1dent1al</vt:lpwstr>
  </property>
</Properties>
</file>